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Jan" sheetId="1" r:id="rId5"/>
    <sheet state="visible" name="26Feb" sheetId="2" r:id="rId6"/>
    <sheet state="visible" name="26Mar" sheetId="3" r:id="rId7"/>
    <sheet state="visible" name="26Apr" sheetId="4" r:id="rId8"/>
    <sheet state="visible" name="26May" sheetId="5" r:id="rId9"/>
    <sheet state="visible" name="26Jun" sheetId="6" r:id="rId10"/>
    <sheet state="visible" name="26Jul" sheetId="7" r:id="rId11"/>
    <sheet state="visible" name="26Aug" sheetId="8" r:id="rId12"/>
    <sheet state="visible" name="26Sep" sheetId="9" r:id="rId13"/>
    <sheet state="visible" name="26Oct" sheetId="10" r:id="rId14"/>
    <sheet state="visible" name="26Nov" sheetId="11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tc={3474fce0-16b7-48ec-8a18-ba5430f1a626}</author>
  </authors>
  <commentList>
    <comment authorId="0" xr:uid="{3474fce0-16b7-48ec-8a18-ba5430f1a626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Originally ¥2290
</t>
      </text>
    </comment>
  </commentList>
</comments>
</file>

<file path=xl/sharedStrings.xml><?xml version="1.0" encoding="utf-8"?>
<sst xmlns="http://schemas.openxmlformats.org/spreadsheetml/2006/main" count="1482" uniqueCount="52">
  <si>
    <t>【Income】</t>
  </si>
  <si>
    <t>【Expense】</t>
  </si>
  <si>
    <t>【Total Expense】</t>
  </si>
  <si>
    <t>Category</t>
  </si>
  <si>
    <t>Amount</t>
  </si>
  <si>
    <t>Date</t>
  </si>
  <si>
    <t>Note</t>
  </si>
  <si>
    <t>Total Income</t>
  </si>
  <si>
    <t>Salary</t>
  </si>
  <si>
    <t>🤩 Friends</t>
  </si>
  <si>
    <t>Total Expense</t>
  </si>
  <si>
    <t>🍔 Eat Out</t>
  </si>
  <si>
    <t>Net Income</t>
  </si>
  <si>
    <t>🏪 Konbini</t>
  </si>
  <si>
    <t>💊 Medical</t>
  </si>
  <si>
    <t>【Saving Target】</t>
  </si>
  <si>
    <t>🛒 Grocery</t>
  </si>
  <si>
    <t>🚇 Suica</t>
  </si>
  <si>
    <t>Start Date</t>
  </si>
  <si>
    <t>End Date</t>
  </si>
  <si>
    <t>Today</t>
  </si>
  <si>
    <t>Days Left</t>
  </si>
  <si>
    <t>Saving Amount Target</t>
  </si>
  <si>
    <t>Total</t>
  </si>
  <si>
    <t>Available Amount</t>
  </si>
  <si>
    <t>Avg. Avail. Amt. / Day</t>
  </si>
  <si>
    <t>【Fixed Expense】</t>
  </si>
  <si>
    <t>【Daily Stats】</t>
  </si>
  <si>
    <t>👘 Fashion</t>
  </si>
  <si>
    <t>House Rent</t>
  </si>
  <si>
    <t>Daily Total</t>
  </si>
  <si>
    <t>Tuition</t>
  </si>
  <si>
    <t>Avail. Amt. Left</t>
  </si>
  <si>
    <t>iCloud Storage</t>
  </si>
  <si>
    <t>Rakuten Mobile</t>
  </si>
  <si>
    <t>Nuro Hikari</t>
  </si>
  <si>
    <t>YouTube Premium</t>
  </si>
  <si>
    <t>Electricity</t>
  </si>
  <si>
    <t>Water Server</t>
  </si>
  <si>
    <t>Water</t>
  </si>
  <si>
    <t>🏔️ Leisure</t>
  </si>
  <si>
    <t>🧴 Beauty</t>
  </si>
  <si>
    <t>【Data for Chart】</t>
  </si>
  <si>
    <t>Expense</t>
  </si>
  <si>
    <t>Cumultive</t>
  </si>
  <si>
    <t>Threshold</t>
  </si>
  <si>
    <t>Saved</t>
  </si>
  <si>
    <t>【Big Purchase】</t>
  </si>
  <si>
    <t>Daily Dist.</t>
  </si>
  <si>
    <t>YouTube</t>
  </si>
  <si>
    <t>Netflix</t>
  </si>
  <si>
    <t>* Originally
- Tuition = ¥50,000
- YouTube = ¥2,280
- Netflix = ¥2,290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</si>
</sst>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[$¥-411]#,##0"/>
    <numFmt numFmtId="166" formatCode="&quot;¥&quot;#,##0"/>
    <numFmt numFmtId="167" formatCode="m/d"/>
    <numFmt numFmtId="168" formatCode="yyyy/MM/dd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6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b/>
      <color theme="1"/>
      <name val="Arial"/>
    </font>
    <font>
      <color theme="1"/>
      <name val="Arial"/>
      <scheme val="minor"/>
    </font>
    <font>
      <b/>
      <sz val="12.0"/>
      <color rgb="FFFFFFFF"/>
      <name val="Arial"/>
    </font>
    <font/>
    <font>
      <sz val="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757171"/>
        <bgColor rgb="FF757171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A86E8"/>
      </left>
      <right style="thin">
        <color rgb="FF4A86E8"/>
      </right>
      <top style="thin">
        <color rgb="FF4A86E8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165" xfId="0" applyAlignment="1" applyBorder="1" applyFill="1" applyFont="1" applyNumberFormat="1">
      <alignment horizontal="center" vertical="center"/>
    </xf>
    <xf borderId="3" fillId="0" fontId="1" numFmtId="0" xfId="0" applyAlignment="1" applyBorder="1" applyFont="1">
      <alignment vertical="center"/>
    </xf>
    <xf borderId="4" fillId="0" fontId="1" numFmtId="166" xfId="0" applyAlignment="1" applyBorder="1" applyFont="1" applyNumberFormat="1">
      <alignment horizontal="right" vertical="center"/>
    </xf>
    <xf borderId="1" fillId="4" fontId="1" numFmtId="0" xfId="0" applyAlignment="1" applyBorder="1" applyFill="1" applyFont="1">
      <alignment vertical="center"/>
    </xf>
    <xf borderId="2" fillId="5" fontId="1" numFmtId="165" xfId="0" applyAlignment="1" applyBorder="1" applyFill="1" applyFont="1" applyNumberFormat="1">
      <alignment horizontal="right" readingOrder="0" vertical="center"/>
    </xf>
    <xf borderId="1" fillId="6" fontId="1" numFmtId="167" xfId="0" applyAlignment="1" applyBorder="1" applyFill="1" applyFont="1" applyNumberFormat="1">
      <alignment horizontal="center" readingOrder="0" vertical="center"/>
    </xf>
    <xf borderId="1" fillId="7" fontId="1" numFmtId="0" xfId="0" applyAlignment="1" applyBorder="1" applyFill="1" applyFont="1">
      <alignment readingOrder="0" vertical="center"/>
    </xf>
    <xf borderId="1" fillId="6" fontId="1" numFmtId="165" xfId="0" applyAlignment="1" applyBorder="1" applyFill="1" applyFont="1" applyNumberFormat="1">
      <alignment horizontal="right" readingOrder="0" vertical="center"/>
    </xf>
    <xf borderId="1" fillId="6" fontId="1" numFmtId="165" xfId="0" applyAlignment="1" applyBorder="1" applyFill="1" applyFont="1" applyNumberFormat="1">
      <alignment vertical="center"/>
    </xf>
    <xf borderId="5" fillId="0" fontId="1" numFmtId="0" xfId="0" applyAlignment="1" applyBorder="1" applyFont="1">
      <alignment vertical="center"/>
    </xf>
    <xf borderId="6" fillId="0" fontId="1" numFmtId="166" xfId="0" applyAlignment="1" applyBorder="1" applyFont="1" applyNumberFormat="1">
      <alignment horizontal="right" vertical="center"/>
    </xf>
    <xf borderId="1" fillId="5" fontId="1" numFmtId="0" xfId="0" applyAlignment="1" applyBorder="1" applyFill="1" applyFont="1">
      <alignment vertical="center"/>
    </xf>
    <xf borderId="2" fillId="5" fontId="1" numFmtId="165" xfId="0" applyAlignment="1" applyBorder="1" applyFill="1" applyFont="1" applyNumberFormat="1">
      <alignment vertical="center"/>
    </xf>
    <xf borderId="1" fillId="6" fontId="1" numFmtId="165" xfId="0" applyAlignment="1" applyBorder="1" applyFill="1" applyFont="1" applyNumberFormat="1">
      <alignment readingOrder="0" vertical="center"/>
    </xf>
    <xf borderId="7" fillId="4" fontId="5" numFmtId="0" xfId="0" applyAlignment="1" applyBorder="1" applyFill="1" applyFont="1">
      <alignment vertical="center"/>
    </xf>
    <xf borderId="8" fillId="4" fontId="5" numFmtId="166" xfId="0" applyAlignment="1" applyBorder="1" applyFill="1" applyFont="1" applyNumberFormat="1">
      <alignment horizontal="right" vertical="center"/>
    </xf>
    <xf borderId="2" fillId="5" fontId="1" numFmtId="0" xfId="0" applyAlignment="1" applyBorder="1" applyFill="1" applyFont="1">
      <alignment vertical="center"/>
    </xf>
    <xf borderId="0" fillId="0" fontId="1" numFmtId="166" xfId="0" applyAlignment="1" applyFont="1" applyNumberFormat="1">
      <alignment vertical="center"/>
    </xf>
    <xf borderId="9" fillId="0" fontId="1" numFmtId="0" xfId="0" applyAlignment="1" applyBorder="1" applyFont="1">
      <alignment vertical="center"/>
    </xf>
    <xf borderId="9" fillId="8" fontId="1" numFmtId="14" xfId="0" applyAlignment="1" applyBorder="1" applyFill="1" applyFont="1" applyNumberFormat="1">
      <alignment horizontal="right" vertical="center"/>
    </xf>
    <xf borderId="0" fillId="0" fontId="6" numFmtId="0" xfId="0" applyAlignment="1" applyFont="1">
      <alignment vertical="center"/>
    </xf>
    <xf borderId="9" fillId="0" fontId="1" numFmtId="14" xfId="0" applyAlignment="1" applyBorder="1" applyFont="1" applyNumberFormat="1">
      <alignment horizontal="right" vertical="center"/>
    </xf>
    <xf borderId="9" fillId="0" fontId="1" numFmtId="0" xfId="0" applyAlignment="1" applyBorder="1" applyFont="1">
      <alignment horizontal="right" vertical="center"/>
    </xf>
    <xf borderId="9" fillId="8" fontId="1" numFmtId="0" xfId="0" applyAlignment="1" applyBorder="1" applyFill="1" applyFont="1">
      <alignment vertical="center"/>
    </xf>
    <xf borderId="9" fillId="0" fontId="1" numFmtId="166" xfId="0" applyAlignment="1" applyBorder="1" applyFont="1" applyNumberFormat="1">
      <alignment horizontal="right" vertical="center"/>
    </xf>
    <xf borderId="10" fillId="2" fontId="7" numFmtId="0" xfId="0" applyAlignment="1" applyBorder="1" applyFill="1" applyFont="1">
      <alignment horizontal="center" vertical="center"/>
    </xf>
    <xf borderId="2" fillId="2" fontId="7" numFmtId="166" xfId="0" applyAlignment="1" applyBorder="1" applyFill="1" applyFont="1" applyNumberFormat="1">
      <alignment horizontal="right" vertical="center"/>
    </xf>
    <xf borderId="11" fillId="0" fontId="1" numFmtId="0" xfId="0" applyAlignment="1" applyBorder="1" applyFont="1">
      <alignment vertical="center"/>
    </xf>
    <xf borderId="11" fillId="0" fontId="1" numFmtId="166" xfId="0" applyAlignment="1" applyBorder="1" applyFont="1" applyNumberFormat="1">
      <alignment horizontal="right" vertical="center"/>
    </xf>
    <xf borderId="7" fillId="4" fontId="5" numFmtId="0" xfId="0" applyAlignment="1" applyBorder="1" applyFill="1" applyFont="1">
      <alignment readingOrder="0" vertical="center"/>
    </xf>
    <xf borderId="7" fillId="4" fontId="5" numFmtId="165" xfId="0" applyAlignment="1" applyBorder="1" applyFill="1" applyFont="1" applyNumberFormat="1">
      <alignment horizontal="right" vertical="center"/>
    </xf>
    <xf borderId="1" fillId="9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1" fillId="10" fontId="1" numFmtId="0" xfId="0" applyAlignment="1" applyBorder="1" applyFill="1" applyFont="1">
      <alignment vertical="center"/>
    </xf>
    <xf borderId="1" fillId="10" fontId="1" numFmtId="165" xfId="0" applyAlignment="1" applyBorder="1" applyFill="1" applyFont="1" applyNumberFormat="1">
      <alignment horizontal="right" vertical="center"/>
    </xf>
    <xf borderId="3" fillId="0" fontId="1" numFmtId="165" xfId="0" applyAlignment="1" applyBorder="1" applyFont="1" applyNumberFormat="1">
      <alignment horizontal="right" vertical="center"/>
    </xf>
    <xf borderId="3" fillId="5" fontId="5" numFmtId="0" xfId="0" applyAlignment="1" applyBorder="1" applyFill="1" applyFont="1">
      <alignment readingOrder="0" vertical="center"/>
    </xf>
    <xf borderId="3" fillId="11" fontId="5" numFmtId="165" xfId="0" applyAlignment="1" applyBorder="1" applyFill="1" applyFont="1" applyNumberFormat="1">
      <alignment horizontal="right" vertical="center"/>
    </xf>
    <xf borderId="1" fillId="10" fontId="1" numFmtId="0" xfId="0" applyAlignment="1" applyBorder="1" applyFill="1" applyFont="1">
      <alignment readingOrder="0" vertical="center"/>
    </xf>
    <xf borderId="1" fillId="10" fontId="1" numFmtId="165" xfId="0" applyAlignment="1" applyBorder="1" applyFill="1" applyFont="1" applyNumberFormat="1">
      <alignment readingOrder="0" vertical="center"/>
    </xf>
    <xf borderId="1" fillId="6" fontId="1" numFmtId="168" xfId="0" applyAlignment="1" applyBorder="1" applyFill="1" applyFont="1" applyNumberFormat="1">
      <alignment horizontal="center" readingOrder="0" vertical="center"/>
    </xf>
    <xf borderId="12" fillId="10" fontId="1" numFmtId="0" xfId="0" applyAlignment="1" applyBorder="1" applyFill="1" applyFont="1">
      <alignment readingOrder="0" vertical="center"/>
    </xf>
    <xf borderId="1" fillId="10" fontId="1" numFmtId="165" xfId="0" applyAlignment="1" applyBorder="1" applyFill="1" applyFont="1" applyNumberFormat="1">
      <alignment horizontal="right" readingOrder="0" vertical="center"/>
    </xf>
    <xf borderId="0" fillId="6" fontId="1" numFmtId="165" xfId="0" applyAlignment="1" applyFill="1" applyFont="1" applyNumberFormat="1">
      <alignment readingOrder="0" vertical="center"/>
    </xf>
    <xf borderId="1" fillId="10" fontId="6" numFmtId="165" xfId="0" applyAlignment="1" applyBorder="1" applyFill="1" applyFont="1" applyNumberFormat="1">
      <alignment readingOrder="0" vertical="center"/>
    </xf>
    <xf borderId="13" fillId="10" fontId="1" numFmtId="0" xfId="0" applyAlignment="1" applyBorder="1" applyFill="1" applyFont="1">
      <alignment vertical="center"/>
    </xf>
    <xf borderId="13" fillId="10" fontId="1" numFmtId="165" xfId="0" applyAlignment="1" applyBorder="1" applyFill="1" applyFont="1" applyNumberFormat="1">
      <alignment vertical="center"/>
    </xf>
    <xf borderId="1" fillId="10" fontId="1" numFmtId="165" xfId="0" applyAlignment="1" applyBorder="1" applyFill="1" applyFont="1" applyNumberFormat="1">
      <alignment vertical="center"/>
    </xf>
    <xf borderId="0" fillId="0" fontId="1" numFmtId="168" xfId="0" applyAlignment="1" applyFont="1" applyNumberFormat="1">
      <alignment vertical="center"/>
    </xf>
    <xf borderId="1" fillId="9" fontId="7" numFmtId="0" xfId="0" applyAlignment="1" applyBorder="1" applyFill="1" applyFont="1">
      <alignment horizontal="center" vertical="center"/>
    </xf>
    <xf borderId="1" fillId="9" fontId="7" numFmtId="166" xfId="0" applyAlignment="1" applyBorder="1" applyFill="1" applyFont="1" applyNumberFormat="1">
      <alignment horizontal="right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4" numFmtId="165" xfId="0" applyAlignment="1" applyBorder="1" applyFill="1" applyFont="1" applyNumberFormat="1">
      <alignment horizontal="center" readingOrder="0" vertical="center"/>
    </xf>
    <xf borderId="2" fillId="3" fontId="4" numFmtId="165" xfId="0" applyAlignment="1" applyBorder="1" applyFill="1" applyFont="1" applyNumberFormat="1">
      <alignment horizontal="center" vertical="center"/>
    </xf>
    <xf borderId="0" fillId="3" fontId="4" numFmtId="0" xfId="0" applyAlignment="1" applyFill="1" applyFont="1">
      <alignment horizontal="center" readingOrder="0" vertical="center"/>
    </xf>
    <xf borderId="15" fillId="3" fontId="4" numFmtId="0" xfId="0" applyAlignment="1" applyBorder="1" applyFill="1" applyFont="1">
      <alignment horizontal="center" vertical="center"/>
    </xf>
    <xf borderId="15" fillId="0" fontId="1" numFmtId="0" xfId="0" applyAlignment="1" applyBorder="1" applyFont="1">
      <alignment vertical="center"/>
    </xf>
    <xf borderId="1" fillId="7" fontId="1" numFmtId="168" xfId="0" applyAlignment="1" applyBorder="1" applyFill="1" applyFont="1" applyNumberFormat="1">
      <alignment horizontal="right" vertical="center"/>
    </xf>
    <xf borderId="12" fillId="7" fontId="1" numFmtId="165" xfId="0" applyAlignment="1" applyBorder="1" applyFill="1" applyFont="1" applyNumberFormat="1">
      <alignment horizontal="right" vertical="center"/>
    </xf>
    <xf borderId="1" fillId="7" fontId="1" numFmtId="165" xfId="0" applyAlignment="1" applyBorder="1" applyFill="1" applyFont="1" applyNumberFormat="1">
      <alignment horizontal="right" vertical="center"/>
    </xf>
    <xf borderId="2" fillId="7" fontId="1" numFmtId="166" xfId="0" applyAlignment="1" applyBorder="1" applyFill="1" applyFont="1" applyNumberFormat="1">
      <alignment horizontal="right" vertical="center"/>
    </xf>
    <xf borderId="0" fillId="7" fontId="1" numFmtId="0" xfId="0" applyAlignment="1" applyFill="1" applyFont="1">
      <alignment horizontal="right" shrinkToFit="0" vertical="center" wrapText="1"/>
    </xf>
    <xf borderId="15" fillId="7" fontId="1" numFmtId="0" xfId="0" applyAlignment="1" applyBorder="1" applyFill="1" applyFont="1">
      <alignment horizontal="right" shrinkToFit="0" vertical="center" wrapText="1"/>
    </xf>
    <xf borderId="2" fillId="7" fontId="1" numFmtId="168" xfId="0" applyAlignment="1" applyBorder="1" applyFill="1" applyFont="1" applyNumberFormat="1">
      <alignment horizontal="right" vertical="center"/>
    </xf>
    <xf borderId="10" fillId="7" fontId="1" numFmtId="165" xfId="0" applyAlignment="1" applyBorder="1" applyFill="1" applyFont="1" applyNumberFormat="1">
      <alignment horizontal="right" vertical="center"/>
    </xf>
    <xf borderId="15" fillId="7" fontId="1" numFmtId="165" xfId="0" applyAlignment="1" applyBorder="1" applyFill="1" applyFont="1" applyNumberFormat="1">
      <alignment horizontal="right" shrinkToFit="0" vertical="center" wrapText="1"/>
    </xf>
    <xf borderId="1" fillId="6" fontId="1" numFmtId="167" xfId="0" applyAlignment="1" applyBorder="1" applyFill="1" applyFont="1" applyNumberFormat="1">
      <alignment horizontal="center" vertical="center"/>
    </xf>
    <xf borderId="1" fillId="7" fontId="1" numFmtId="0" xfId="0" applyAlignment="1" applyBorder="1" applyFill="1" applyFont="1">
      <alignment vertical="center"/>
    </xf>
    <xf borderId="2" fillId="3" fontId="7" numFmtId="0" xfId="0" applyAlignment="1" applyBorder="1" applyFill="1" applyFont="1">
      <alignment horizontal="center" vertical="center"/>
    </xf>
    <xf borderId="10" fillId="0" fontId="8" numFmtId="0" xfId="0" applyBorder="1" applyFont="1"/>
    <xf borderId="1" fillId="3" fontId="7" numFmtId="165" xfId="0" applyAlignment="1" applyBorder="1" applyFill="1" applyFont="1" applyNumberFormat="1">
      <alignment horizontal="right" vertical="center"/>
    </xf>
    <xf borderId="1" fillId="3" fontId="1" numFmtId="165" xfId="0" applyAlignment="1" applyBorder="1" applyFill="1" applyFont="1" applyNumberFormat="1">
      <alignment vertical="center"/>
    </xf>
    <xf borderId="9" fillId="0" fontId="1" numFmtId="166" xfId="0" applyAlignment="1" applyBorder="1" applyFont="1" applyNumberFormat="1">
      <alignment horizontal="right" readingOrder="0" vertical="center"/>
    </xf>
    <xf borderId="0" fillId="0" fontId="3" numFmtId="0" xfId="0" applyAlignment="1" applyFont="1">
      <alignment readingOrder="0" vertical="center"/>
    </xf>
    <xf borderId="1" fillId="12" fontId="4" numFmtId="165" xfId="0" applyAlignment="1" applyBorder="1" applyFill="1" applyFont="1" applyNumberFormat="1">
      <alignment horizontal="center" vertical="center"/>
    </xf>
    <xf borderId="1" fillId="7" fontId="1" numFmtId="0" xfId="0" applyAlignment="1" applyBorder="1" applyFill="1" applyFont="1">
      <alignment horizontal="center" readingOrder="0" vertical="center"/>
    </xf>
    <xf borderId="0" fillId="12" fontId="4" numFmtId="0" xfId="0" applyAlignment="1" applyFill="1" applyFont="1">
      <alignment horizontal="center" readingOrder="0" vertical="center"/>
    </xf>
    <xf borderId="0" fillId="12" fontId="4" numFmtId="165" xfId="0" applyAlignment="1" applyFill="1" applyFont="1" applyNumberFormat="1">
      <alignment vertical="center"/>
    </xf>
    <xf borderId="13" fillId="10" fontId="1" numFmtId="165" xfId="0" applyAlignment="1" applyBorder="1" applyFill="1" applyFont="1" applyNumberFormat="1">
      <alignment readingOrder="0" vertical="center"/>
    </xf>
    <xf borderId="1" fillId="10" fontId="9" numFmtId="0" xfId="0" applyAlignment="1" applyBorder="1" applyFill="1" applyFont="1">
      <alignment readingOrder="0" vertical="center"/>
    </xf>
    <xf borderId="0" fillId="7" fontId="1" numFmtId="166" xfId="0" applyAlignment="1" applyFill="1" applyFont="1" applyNumberFormat="1">
      <alignment horizontal="right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'26Jan'!$K$44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'26Jan'!$J$45:$J$75</c:f>
            </c:strRef>
          </c:cat>
          <c:val>
            <c:numRef>
              <c:f>'26Jan'!$K$45:$K$75</c:f>
              <c:numCache/>
            </c:numRef>
          </c:val>
        </c:ser>
        <c:axId val="632983979"/>
        <c:axId val="835854845"/>
      </c:barChart>
      <c:lineChart>
        <c:ser>
          <c:idx val="1"/>
          <c:order val="1"/>
          <c:tx>
            <c:strRef>
              <c:f>'26Jan'!$L$44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'26Jan'!$J$45:$J$75</c:f>
            </c:strRef>
          </c:cat>
          <c:val>
            <c:numRef>
              <c:f>'26Jan'!$L$45:$L$75</c:f>
              <c:numCache/>
            </c:numRef>
          </c:val>
          <c:smooth val="0"/>
        </c:ser>
        <c:ser>
          <c:idx val="2"/>
          <c:order val="2"/>
          <c:tx>
            <c:strRef>
              <c:f>'26Jan'!$M$44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'26Jan'!$J$45:$J$75</c:f>
            </c:strRef>
          </c:cat>
          <c:val>
            <c:numRef>
              <c:f>'26Jan'!$M$45:$M$75</c:f>
              <c:numCache/>
            </c:numRef>
          </c:val>
          <c:smooth val="0"/>
        </c:ser>
        <c:axId val="632983979"/>
        <c:axId val="835854845"/>
      </c:lineChart>
      <c:catAx>
        <c:axId val="6329839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5854845"/>
      </c:catAx>
      <c:valAx>
        <c:axId val="835854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298397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'26Feb'!$K$44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'26Feb'!$J$45:$J$75</c:f>
            </c:strRef>
          </c:cat>
          <c:val>
            <c:numRef>
              <c:f>'26Feb'!$K$45:$K$75</c:f>
              <c:numCache/>
            </c:numRef>
          </c:val>
        </c:ser>
        <c:axId val="47495789"/>
        <c:axId val="689133670"/>
      </c:barChart>
      <c:lineChart>
        <c:ser>
          <c:idx val="1"/>
          <c:order val="1"/>
          <c:tx>
            <c:strRef>
              <c:f>'26Feb'!$L$44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'26Feb'!$J$45:$J$75</c:f>
            </c:strRef>
          </c:cat>
          <c:val>
            <c:numRef>
              <c:f>'26Feb'!$L$45:$L$75</c:f>
              <c:numCache/>
            </c:numRef>
          </c:val>
          <c:smooth val="0"/>
        </c:ser>
        <c:ser>
          <c:idx val="2"/>
          <c:order val="2"/>
          <c:tx>
            <c:strRef>
              <c:f>'26Feb'!$M$44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'26Feb'!$J$45:$J$75</c:f>
            </c:strRef>
          </c:cat>
          <c:val>
            <c:numRef>
              <c:f>'26Feb'!$M$45:$M$75</c:f>
              <c:numCache/>
            </c:numRef>
          </c:val>
          <c:smooth val="0"/>
        </c:ser>
        <c:axId val="47495789"/>
        <c:axId val="689133670"/>
      </c:lineChart>
      <c:catAx>
        <c:axId val="474957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133670"/>
      </c:catAx>
      <c:valAx>
        <c:axId val="689133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957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'26Mar'!$K$44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'26Mar'!$J$45:$J$75</c:f>
            </c:strRef>
          </c:cat>
          <c:val>
            <c:numRef>
              <c:f>'26Mar'!$K$45:$K$75</c:f>
              <c:numCache/>
            </c:numRef>
          </c:val>
        </c:ser>
        <c:axId val="205407695"/>
        <c:axId val="548474239"/>
      </c:barChart>
      <c:lineChart>
        <c:ser>
          <c:idx val="1"/>
          <c:order val="1"/>
          <c:tx>
            <c:strRef>
              <c:f>'26Mar'!$L$44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'26Mar'!$J$45:$J$75</c:f>
            </c:strRef>
          </c:cat>
          <c:val>
            <c:numRef>
              <c:f>'26Mar'!$L$45:$L$75</c:f>
              <c:numCache/>
            </c:numRef>
          </c:val>
          <c:smooth val="0"/>
        </c:ser>
        <c:ser>
          <c:idx val="2"/>
          <c:order val="2"/>
          <c:tx>
            <c:strRef>
              <c:f>'26Mar'!$M$44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'26Mar'!$J$45:$J$75</c:f>
            </c:strRef>
          </c:cat>
          <c:val>
            <c:numRef>
              <c:f>'26Mar'!$M$45:$M$75</c:f>
              <c:numCache/>
            </c:numRef>
          </c:val>
          <c:smooth val="0"/>
        </c:ser>
        <c:axId val="205407695"/>
        <c:axId val="548474239"/>
      </c:lineChart>
      <c:catAx>
        <c:axId val="205407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474239"/>
      </c:catAx>
      <c:valAx>
        <c:axId val="5484742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40769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'26Apr'!$K$44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'26Apr'!$J$45:$J$75</c:f>
            </c:strRef>
          </c:cat>
          <c:val>
            <c:numRef>
              <c:f>'26Apr'!$K$45:$K$75</c:f>
              <c:numCache/>
            </c:numRef>
          </c:val>
        </c:ser>
        <c:axId val="1807918393"/>
        <c:axId val="1852057416"/>
      </c:barChart>
      <c:lineChart>
        <c:ser>
          <c:idx val="1"/>
          <c:order val="1"/>
          <c:tx>
            <c:strRef>
              <c:f>'26Apr'!$L$44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'26Apr'!$J$45:$J$75</c:f>
            </c:strRef>
          </c:cat>
          <c:val>
            <c:numRef>
              <c:f>'26Apr'!$L$45:$L$75</c:f>
              <c:numCache/>
            </c:numRef>
          </c:val>
          <c:smooth val="0"/>
        </c:ser>
        <c:ser>
          <c:idx val="2"/>
          <c:order val="2"/>
          <c:tx>
            <c:strRef>
              <c:f>'26Apr'!$M$44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'26Apr'!$J$45:$J$75</c:f>
            </c:strRef>
          </c:cat>
          <c:val>
            <c:numRef>
              <c:f>'26Apr'!$M$45:$M$75</c:f>
              <c:numCache/>
            </c:numRef>
          </c:val>
          <c:smooth val="0"/>
        </c:ser>
        <c:axId val="1807918393"/>
        <c:axId val="1852057416"/>
      </c:lineChart>
      <c:catAx>
        <c:axId val="1807918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2057416"/>
      </c:catAx>
      <c:valAx>
        <c:axId val="1852057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7918393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'26May'!$K$44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'26May'!$J$45:$J$75</c:f>
            </c:strRef>
          </c:cat>
          <c:val>
            <c:numRef>
              <c:f>'26May'!$K$45:$K$75</c:f>
              <c:numCache/>
            </c:numRef>
          </c:val>
        </c:ser>
        <c:axId val="1592136362"/>
        <c:axId val="591967898"/>
      </c:barChart>
      <c:lineChart>
        <c:ser>
          <c:idx val="1"/>
          <c:order val="1"/>
          <c:tx>
            <c:strRef>
              <c:f>'26May'!$L$44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'26May'!$J$45:$J$75</c:f>
            </c:strRef>
          </c:cat>
          <c:val>
            <c:numRef>
              <c:f>'26May'!$L$45:$L$75</c:f>
              <c:numCache/>
            </c:numRef>
          </c:val>
          <c:smooth val="0"/>
        </c:ser>
        <c:ser>
          <c:idx val="2"/>
          <c:order val="2"/>
          <c:tx>
            <c:strRef>
              <c:f>'26May'!$M$44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'26May'!$J$45:$J$75</c:f>
            </c:strRef>
          </c:cat>
          <c:val>
            <c:numRef>
              <c:f>'26May'!$M$45:$M$75</c:f>
              <c:numCache/>
            </c:numRef>
          </c:val>
          <c:smooth val="0"/>
        </c:ser>
        <c:axId val="1592136362"/>
        <c:axId val="591967898"/>
      </c:lineChart>
      <c:catAx>
        <c:axId val="1592136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1967898"/>
      </c:catAx>
      <c:valAx>
        <c:axId val="591967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2136362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'26Jun'!$K$44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'26Jun'!$J$45:$J$75</c:f>
            </c:strRef>
          </c:cat>
          <c:val>
            <c:numRef>
              <c:f>'26Jun'!$K$45:$K$75</c:f>
              <c:numCache/>
            </c:numRef>
          </c:val>
        </c:ser>
        <c:axId val="1278810019"/>
        <c:axId val="1913517814"/>
      </c:barChart>
      <c:lineChart>
        <c:ser>
          <c:idx val="1"/>
          <c:order val="1"/>
          <c:tx>
            <c:strRef>
              <c:f>'26Jun'!$L$44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'26Jun'!$J$45:$J$75</c:f>
            </c:strRef>
          </c:cat>
          <c:val>
            <c:numRef>
              <c:f>'26Jun'!$L$45:$L$75</c:f>
              <c:numCache/>
            </c:numRef>
          </c:val>
          <c:smooth val="0"/>
        </c:ser>
        <c:ser>
          <c:idx val="2"/>
          <c:order val="2"/>
          <c:tx>
            <c:strRef>
              <c:f>'26Jun'!$M$44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'26Jun'!$J$45:$J$75</c:f>
            </c:strRef>
          </c:cat>
          <c:val>
            <c:numRef>
              <c:f>'26Jun'!$M$45:$M$75</c:f>
              <c:numCache/>
            </c:numRef>
          </c:val>
          <c:smooth val="0"/>
        </c:ser>
        <c:axId val="1278810019"/>
        <c:axId val="1913517814"/>
      </c:lineChart>
      <c:catAx>
        <c:axId val="12788100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517814"/>
      </c:catAx>
      <c:valAx>
        <c:axId val="19135178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81001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'26Jul'!$K$44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'26Jul'!$J$45:$J$75</c:f>
            </c:strRef>
          </c:cat>
          <c:val>
            <c:numRef>
              <c:f>'26Jul'!$K$45:$K$75</c:f>
              <c:numCache/>
            </c:numRef>
          </c:val>
        </c:ser>
        <c:axId val="406983649"/>
        <c:axId val="1610800752"/>
      </c:barChart>
      <c:lineChart>
        <c:ser>
          <c:idx val="1"/>
          <c:order val="1"/>
          <c:tx>
            <c:strRef>
              <c:f>'26Jul'!$L$44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'26Jul'!$J$45:$J$75</c:f>
            </c:strRef>
          </c:cat>
          <c:val>
            <c:numRef>
              <c:f>'26Jul'!$L$45:$L$75</c:f>
              <c:numCache/>
            </c:numRef>
          </c:val>
          <c:smooth val="0"/>
        </c:ser>
        <c:ser>
          <c:idx val="2"/>
          <c:order val="2"/>
          <c:tx>
            <c:strRef>
              <c:f>'26Jul'!$M$44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'26Jul'!$J$45:$J$75</c:f>
            </c:strRef>
          </c:cat>
          <c:val>
            <c:numRef>
              <c:f>'26Jul'!$M$45:$M$75</c:f>
              <c:numCache/>
            </c:numRef>
          </c:val>
          <c:smooth val="0"/>
        </c:ser>
        <c:axId val="406983649"/>
        <c:axId val="1610800752"/>
      </c:lineChart>
      <c:catAx>
        <c:axId val="406983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0800752"/>
      </c:catAx>
      <c:valAx>
        <c:axId val="1610800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698364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'26Aug'!$K$44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'26Aug'!$J$45:$J$75</c:f>
            </c:strRef>
          </c:cat>
          <c:val>
            <c:numRef>
              <c:f>'26Aug'!$K$45:$K$75</c:f>
              <c:numCache/>
            </c:numRef>
          </c:val>
        </c:ser>
        <c:axId val="297185294"/>
        <c:axId val="1226638398"/>
      </c:barChart>
      <c:lineChart>
        <c:ser>
          <c:idx val="1"/>
          <c:order val="1"/>
          <c:tx>
            <c:strRef>
              <c:f>'26Aug'!$L$44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'26Aug'!$J$45:$J$75</c:f>
            </c:strRef>
          </c:cat>
          <c:val>
            <c:numRef>
              <c:f>'26Aug'!$L$45:$L$75</c:f>
              <c:numCache/>
            </c:numRef>
          </c:val>
          <c:smooth val="0"/>
        </c:ser>
        <c:ser>
          <c:idx val="2"/>
          <c:order val="2"/>
          <c:tx>
            <c:strRef>
              <c:f>'26Aug'!$M$44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'26Aug'!$J$45:$J$75</c:f>
            </c:strRef>
          </c:cat>
          <c:val>
            <c:numRef>
              <c:f>'26Aug'!$M$45:$M$75</c:f>
              <c:numCache/>
            </c:numRef>
          </c:val>
          <c:smooth val="0"/>
        </c:ser>
        <c:axId val="297185294"/>
        <c:axId val="1226638398"/>
      </c:lineChart>
      <c:catAx>
        <c:axId val="2971852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638398"/>
      </c:catAx>
      <c:valAx>
        <c:axId val="12266383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7185294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'26Sep'!$J$44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'26Sep'!$I$45:$I$75</c:f>
            </c:strRef>
          </c:cat>
          <c:val>
            <c:numRef>
              <c:f>'26Sep'!$J$45:$J$75</c:f>
              <c:numCache/>
            </c:numRef>
          </c:val>
        </c:ser>
        <c:axId val="230568575"/>
        <c:axId val="752080512"/>
      </c:barChart>
      <c:lineChart>
        <c:ser>
          <c:idx val="1"/>
          <c:order val="1"/>
          <c:tx>
            <c:strRef>
              <c:f>'26Sep'!$K$44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'26Sep'!$I$45:$I$75</c:f>
            </c:strRef>
          </c:cat>
          <c:val>
            <c:numRef>
              <c:f>'26Sep'!$K$45:$K$75</c:f>
              <c:numCache/>
            </c:numRef>
          </c:val>
          <c:smooth val="0"/>
        </c:ser>
        <c:ser>
          <c:idx val="2"/>
          <c:order val="2"/>
          <c:tx>
            <c:strRef>
              <c:f>'26Sep'!$L$44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'26Sep'!$I$45:$I$75</c:f>
            </c:strRef>
          </c:cat>
          <c:val>
            <c:numRef>
              <c:f>'26Sep'!$L$45:$L$75</c:f>
              <c:numCache/>
            </c:numRef>
          </c:val>
          <c:smooth val="0"/>
        </c:ser>
        <c:axId val="230568575"/>
        <c:axId val="752080512"/>
      </c:lineChart>
      <c:catAx>
        <c:axId val="230568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2080512"/>
      </c:catAx>
      <c:valAx>
        <c:axId val="7520805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56857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'26Oct'!$J$44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'26Oct'!$I$45:$I$75</c:f>
            </c:strRef>
          </c:cat>
          <c:val>
            <c:numRef>
              <c:f>'26Oct'!$J$45:$J$75</c:f>
              <c:numCache/>
            </c:numRef>
          </c:val>
        </c:ser>
        <c:axId val="9920389"/>
        <c:axId val="1303481541"/>
      </c:barChart>
      <c:lineChart>
        <c:ser>
          <c:idx val="1"/>
          <c:order val="1"/>
          <c:tx>
            <c:strRef>
              <c:f>'26Oct'!$K$44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'26Oct'!$I$45:$I$75</c:f>
            </c:strRef>
          </c:cat>
          <c:val>
            <c:numRef>
              <c:f>'26Oct'!$K$45:$K$75</c:f>
              <c:numCache/>
            </c:numRef>
          </c:val>
          <c:smooth val="0"/>
        </c:ser>
        <c:ser>
          <c:idx val="2"/>
          <c:order val="2"/>
          <c:tx>
            <c:strRef>
              <c:f>'26Oct'!$L$44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'26Oct'!$I$45:$I$75</c:f>
            </c:strRef>
          </c:cat>
          <c:val>
            <c:numRef>
              <c:f>'26Oct'!$L$45:$L$75</c:f>
              <c:numCache/>
            </c:numRef>
          </c:val>
          <c:smooth val="0"/>
        </c:ser>
        <c:axId val="9920389"/>
        <c:axId val="1303481541"/>
      </c:lineChart>
      <c:catAx>
        <c:axId val="99203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481541"/>
      </c:catAx>
      <c:valAx>
        <c:axId val="1303481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20389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strRef>
              <c:f>'26Nov'!$J$44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'26Nov'!$I$45:$I$75</c:f>
            </c:strRef>
          </c:cat>
          <c:val>
            <c:numRef>
              <c:f>'26Nov'!$J$45:$J$75</c:f>
              <c:numCache/>
            </c:numRef>
          </c:val>
        </c:ser>
        <c:axId val="44991366"/>
        <c:axId val="1744703695"/>
      </c:barChart>
      <c:lineChart>
        <c:ser>
          <c:idx val="1"/>
          <c:order val="1"/>
          <c:tx>
            <c:strRef>
              <c:f>'26Nov'!$K$44</c:f>
            </c:strRef>
          </c:tx>
          <c:spPr>
            <a:ln cmpd="sng" w="9525">
              <a:solidFill>
                <a:srgbClr val="EA43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cat>
            <c:strRef>
              <c:f>'26Nov'!$I$45:$I$75</c:f>
            </c:strRef>
          </c:cat>
          <c:val>
            <c:numRef>
              <c:f>'26Nov'!$K$45:$K$75</c:f>
              <c:numCache/>
            </c:numRef>
          </c:val>
          <c:smooth val="0"/>
        </c:ser>
        <c:ser>
          <c:idx val="2"/>
          <c:order val="2"/>
          <c:tx>
            <c:strRef>
              <c:f>'26Nov'!$L$44</c:f>
            </c:strRef>
          </c:tx>
          <c:spPr>
            <a:ln cmpd="sng" w="9525">
              <a:solidFill>
                <a:srgbClr val="000000">
                  <a:alpha val="6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'26Nov'!$I$45:$I$75</c:f>
            </c:strRef>
          </c:cat>
          <c:val>
            <c:numRef>
              <c:f>'26Nov'!$L$45:$L$75</c:f>
              <c:numCache/>
            </c:numRef>
          </c:val>
          <c:smooth val="0"/>
        </c:ser>
        <c:ser>
          <c:idx val="3"/>
          <c:order val="3"/>
          <c:tx>
            <c:strRef>
              <c:f>'26Nov'!$N$44</c:f>
            </c:strRef>
          </c:tx>
          <c:spPr>
            <a:ln cmpd="sng">
              <a:solidFill>
                <a:srgbClr val="0000FF">
                  <a:alpha val="100000"/>
                </a:srgbClr>
              </a:solidFill>
            </a:ln>
          </c:spPr>
          <c:marker>
            <c:symbol val="circle"/>
            <c:size val="6"/>
            <c:spPr>
              <a:solidFill>
                <a:srgbClr val="0000FF">
                  <a:alpha val="100000"/>
                </a:srgbClr>
              </a:solidFill>
              <a:ln cmpd="sng">
                <a:solidFill>
                  <a:srgbClr val="0000FF">
                    <a:alpha val="100000"/>
                  </a:srgbClr>
                </a:solidFill>
              </a:ln>
            </c:spPr>
          </c:marker>
          <c:cat>
            <c:strRef>
              <c:f>'26Nov'!$I$45:$I$75</c:f>
            </c:strRef>
          </c:cat>
          <c:val>
            <c:numRef>
              <c:f>'26Nov'!$N$45:$N$75</c:f>
              <c:numCache/>
            </c:numRef>
          </c:val>
          <c:smooth val="0"/>
        </c:ser>
        <c:axId val="44991366"/>
        <c:axId val="1744703695"/>
      </c:lineChart>
      <c:catAx>
        <c:axId val="449913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4703695"/>
      </c:catAx>
      <c:valAx>
        <c:axId val="17447036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91366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257175</xdr:colOff>
      <xdr:row>19</xdr:row>
      <xdr:rowOff>180975</xdr:rowOff>
    </xdr:from>
    <xdr:ext cx="6848475" cy="42386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19</xdr:row>
      <xdr:rowOff>180975</xdr:rowOff>
    </xdr:from>
    <xdr:ext cx="6848475" cy="4238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19</xdr:row>
      <xdr:rowOff>180975</xdr:rowOff>
    </xdr:from>
    <xdr:ext cx="6848475" cy="42386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257175</xdr:colOff>
      <xdr:row>19</xdr:row>
      <xdr:rowOff>180975</xdr:rowOff>
    </xdr:from>
    <xdr:ext cx="6848475" cy="42386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Tomoya Tokunaga" id="{2f1855ca-cab1-4646-8849-a4821cbaeed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6" dT="2026-09-24T08:55:22.00" personId="{2f1855ca-cab1-4646-8849-a4821cbaeed7}" id="{3474fce0-16b7-48ec-8a18-ba5430f1a626}" done="1">
    <x18tc:text xml:space="preserve">Originally ¥2290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46023.0</v>
      </c>
      <c r="D1" s="3"/>
      <c r="E1" s="4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735736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735736.0</v>
      </c>
      <c r="D5" s="3"/>
      <c r="E5" s="15">
        <v>46016.0</v>
      </c>
      <c r="F5" s="16" t="s">
        <v>11</v>
      </c>
      <c r="G5" s="17">
        <v>1180.0</v>
      </c>
      <c r="H5" s="18"/>
      <c r="I5" s="3"/>
      <c r="J5" s="19" t="s">
        <v>10</v>
      </c>
      <c r="K5" s="20">
        <f>G128+C40</f>
        <v>426958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46016.0</v>
      </c>
      <c r="F6" s="16" t="s">
        <v>11</v>
      </c>
      <c r="G6" s="23">
        <v>1050.0</v>
      </c>
      <c r="H6" s="18"/>
      <c r="I6" s="3"/>
      <c r="J6" s="24" t="s">
        <v>12</v>
      </c>
      <c r="K6" s="25">
        <f>K4-K5</f>
        <v>308778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46016.0</v>
      </c>
      <c r="F7" s="16" t="s">
        <v>14</v>
      </c>
      <c r="G7" s="23">
        <v>1226.0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46016.0</v>
      </c>
      <c r="F8" s="16" t="s">
        <v>17</v>
      </c>
      <c r="G8" s="23">
        <v>1000.0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46016.0</v>
      </c>
      <c r="F9" s="16" t="s">
        <v>13</v>
      </c>
      <c r="G9" s="23">
        <v>741.0</v>
      </c>
      <c r="H9" s="18"/>
      <c r="I9" s="3"/>
      <c r="J9" s="28" t="s">
        <v>18</v>
      </c>
      <c r="K9" s="29">
        <f>EDATE(B1,-1) + 24</f>
        <v>46016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46017.0</v>
      </c>
      <c r="F10" s="16" t="s">
        <v>11</v>
      </c>
      <c r="G10" s="23">
        <v>1980.0</v>
      </c>
      <c r="H10" s="23"/>
      <c r="I10" s="3"/>
      <c r="J10" s="28" t="s">
        <v>19</v>
      </c>
      <c r="K10" s="31">
        <f>EDATE(B1,0) + 23</f>
        <v>46046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46017.0</v>
      </c>
      <c r="F11" s="16" t="s">
        <v>16</v>
      </c>
      <c r="G11" s="23">
        <v>1836.0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46017.0</v>
      </c>
      <c r="F12" s="16" t="s">
        <v>9</v>
      </c>
      <c r="G12" s="23">
        <v>3180.0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46018.0</v>
      </c>
      <c r="F13" s="16" t="s">
        <v>9</v>
      </c>
      <c r="G13" s="23">
        <v>7710.0</v>
      </c>
      <c r="H13" s="18"/>
      <c r="I13" s="3"/>
      <c r="J13" s="33" t="s">
        <v>22</v>
      </c>
      <c r="K13" s="34">
        <v>300000.0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735736</v>
      </c>
      <c r="D14" s="3"/>
      <c r="E14" s="15">
        <v>46019.0</v>
      </c>
      <c r="F14" s="16" t="s">
        <v>16</v>
      </c>
      <c r="G14" s="23">
        <v>4000.0</v>
      </c>
      <c r="H14" s="18"/>
      <c r="I14" s="3"/>
      <c r="J14" s="37" t="s">
        <v>24</v>
      </c>
      <c r="K14" s="38">
        <f>K6-K13</f>
        <v>8778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46019.0</v>
      </c>
      <c r="F15" s="16" t="s">
        <v>16</v>
      </c>
      <c r="G15" s="23">
        <v>400.0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46019.0</v>
      </c>
      <c r="F16" s="16" t="s">
        <v>13</v>
      </c>
      <c r="G16" s="23">
        <v>321.0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46020.0</v>
      </c>
      <c r="F17" s="16" t="s">
        <v>11</v>
      </c>
      <c r="G17" s="23">
        <v>1240.0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46020.0</v>
      </c>
      <c r="F18" s="16" t="s">
        <v>28</v>
      </c>
      <c r="G18" s="23">
        <v>7980.0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46020.0</v>
      </c>
      <c r="F19" s="16" t="s">
        <v>11</v>
      </c>
      <c r="G19" s="23">
        <v>880.0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44">
        <v>450.0</v>
      </c>
      <c r="D20" s="3"/>
      <c r="E20" s="15">
        <v>46021.0</v>
      </c>
      <c r="F20" s="16" t="s">
        <v>11</v>
      </c>
      <c r="G20" s="23">
        <v>550.0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46021.0</v>
      </c>
      <c r="F21" s="16" t="s">
        <v>17</v>
      </c>
      <c r="G21" s="23">
        <v>1000.0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46021.0</v>
      </c>
      <c r="F22" s="16" t="s">
        <v>11</v>
      </c>
      <c r="G22" s="23">
        <v>920.0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46021.0</v>
      </c>
      <c r="F23" s="16" t="s">
        <v>17</v>
      </c>
      <c r="G23" s="23">
        <v>1500.0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11200.0</v>
      </c>
      <c r="D24" s="3"/>
      <c r="E24" s="15">
        <v>46022.0</v>
      </c>
      <c r="F24" s="16" t="s">
        <v>13</v>
      </c>
      <c r="G24" s="23">
        <v>140.0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46023.0</v>
      </c>
      <c r="F25" s="16" t="s">
        <v>11</v>
      </c>
      <c r="G25" s="53">
        <v>650.0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46024.0</v>
      </c>
      <c r="F26" s="16" t="s">
        <v>17</v>
      </c>
      <c r="G26" s="23">
        <v>2000.0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46024.0</v>
      </c>
      <c r="F27" s="16" t="s">
        <v>11</v>
      </c>
      <c r="G27" s="23">
        <v>1450.0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46024.0</v>
      </c>
      <c r="F28" s="16" t="s">
        <v>11</v>
      </c>
      <c r="G28" s="23">
        <v>1120.0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46024.0</v>
      </c>
      <c r="F29" s="16" t="s">
        <v>11</v>
      </c>
      <c r="G29" s="23">
        <v>2849.0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46025.0</v>
      </c>
      <c r="F30" s="16" t="s">
        <v>13</v>
      </c>
      <c r="G30" s="23">
        <v>280.0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46025.0</v>
      </c>
      <c r="F31" s="16" t="s">
        <v>40</v>
      </c>
      <c r="G31" s="23">
        <v>960.0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46026.0</v>
      </c>
      <c r="F32" s="16" t="s">
        <v>41</v>
      </c>
      <c r="G32" s="23">
        <v>3242.0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46026.0</v>
      </c>
      <c r="F33" s="16" t="s">
        <v>17</v>
      </c>
      <c r="G33" s="23">
        <v>2000.0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46026.0</v>
      </c>
      <c r="F34" s="16" t="s">
        <v>11</v>
      </c>
      <c r="G34" s="23">
        <v>1800.0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46026.0</v>
      </c>
      <c r="F35" s="16" t="s">
        <v>16</v>
      </c>
      <c r="G35" s="23">
        <v>2430.0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46027.0</v>
      </c>
      <c r="F36" s="16" t="s">
        <v>41</v>
      </c>
      <c r="G36" s="23">
        <v>1995.0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46027.0</v>
      </c>
      <c r="F37" s="16" t="s">
        <v>11</v>
      </c>
      <c r="G37" s="23">
        <v>2398.0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46027.0</v>
      </c>
      <c r="F38" s="16" t="s">
        <v>9</v>
      </c>
      <c r="G38" s="23">
        <v>918.0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46027.0</v>
      </c>
      <c r="F39" s="16" t="s">
        <v>13</v>
      </c>
      <c r="G39" s="23">
        <v>200.0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160827</v>
      </c>
      <c r="D40" s="3"/>
      <c r="E40" s="15">
        <v>46028.0</v>
      </c>
      <c r="F40" s="16" t="s">
        <v>17</v>
      </c>
      <c r="G40" s="23">
        <v>1500.0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46028.0</v>
      </c>
      <c r="F41" s="16" t="s">
        <v>41</v>
      </c>
      <c r="G41" s="23">
        <v>2572.0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46029.0</v>
      </c>
      <c r="F42" s="16" t="s">
        <v>17</v>
      </c>
      <c r="G42" s="23">
        <v>1000.0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46029.0</v>
      </c>
      <c r="F43" s="16" t="s">
        <v>11</v>
      </c>
      <c r="G43" s="23">
        <v>980.0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46029.0</v>
      </c>
      <c r="F44" s="16" t="s">
        <v>14</v>
      </c>
      <c r="G44" s="23">
        <v>1191.0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46029.0</v>
      </c>
      <c r="F45" s="16" t="s">
        <v>13</v>
      </c>
      <c r="G45" s="23">
        <v>365.0</v>
      </c>
      <c r="H45" s="18"/>
      <c r="I45" s="3"/>
      <c r="J45" s="69">
        <f>EDATE(B1,-1) + 24 + 0</f>
        <v>46016</v>
      </c>
      <c r="K45" s="70">
        <f>SUMIF(E5:E127,J45,G5:G127)</f>
        <v>5197</v>
      </c>
      <c r="L45" s="71">
        <f>K45</f>
        <v>5197</v>
      </c>
      <c r="M45" s="72">
        <f>(K4-C40-K13)/(K10-K9+1)</f>
        <v>8868.032258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46030.0</v>
      </c>
      <c r="F46" s="16" t="s">
        <v>17</v>
      </c>
      <c r="G46" s="23">
        <v>2000.0</v>
      </c>
      <c r="H46" s="18"/>
      <c r="I46" s="3"/>
      <c r="J46" s="75">
        <f t="shared" ref="J46:J75" si="3">J45 + 1</f>
        <v>46017</v>
      </c>
      <c r="K46" s="71">
        <f>SUMIF(E5:E127,J46,G5:G127)</f>
        <v>6996</v>
      </c>
      <c r="L46" s="76">
        <f t="shared" ref="L46:L75" si="4">SUM(L45,K46)</f>
        <v>12193</v>
      </c>
      <c r="M46" s="72">
        <f>M45*2</f>
        <v>17736.06452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46030.0</v>
      </c>
      <c r="F47" s="16" t="s">
        <v>41</v>
      </c>
      <c r="G47" s="23">
        <v>3697.0</v>
      </c>
      <c r="H47" s="18"/>
      <c r="I47" s="3"/>
      <c r="J47" s="75">
        <f t="shared" si="3"/>
        <v>46018</v>
      </c>
      <c r="K47" s="71">
        <f>SUMIF(E5:E127,J47,G5:G127)</f>
        <v>7710</v>
      </c>
      <c r="L47" s="76">
        <f t="shared" si="4"/>
        <v>19903</v>
      </c>
      <c r="M47" s="72">
        <f>M45*3</f>
        <v>26604.09677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46030.0</v>
      </c>
      <c r="F48" s="16" t="s">
        <v>13</v>
      </c>
      <c r="G48" s="23">
        <v>300.0</v>
      </c>
      <c r="H48" s="18"/>
      <c r="I48" s="3"/>
      <c r="J48" s="75">
        <f t="shared" si="3"/>
        <v>46019</v>
      </c>
      <c r="K48" s="71">
        <f>SUMIF(E5:E127,J48,G5:G127)</f>
        <v>4721</v>
      </c>
      <c r="L48" s="76">
        <f t="shared" si="4"/>
        <v>24624</v>
      </c>
      <c r="M48" s="72">
        <f>M45*4</f>
        <v>35472.12903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46031.0</v>
      </c>
      <c r="F49" s="16" t="s">
        <v>17</v>
      </c>
      <c r="G49" s="23">
        <v>5000.0</v>
      </c>
      <c r="H49" s="18"/>
      <c r="I49" s="3"/>
      <c r="J49" s="75">
        <f t="shared" si="3"/>
        <v>46020</v>
      </c>
      <c r="K49" s="71">
        <f>SUMIF(E5:E127,J49,G5:G127)</f>
        <v>10100</v>
      </c>
      <c r="L49" s="76">
        <f t="shared" si="4"/>
        <v>34724</v>
      </c>
      <c r="M49" s="72">
        <f>M45*5</f>
        <v>44340.16129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46032.0</v>
      </c>
      <c r="F50" s="16" t="s">
        <v>28</v>
      </c>
      <c r="G50" s="23">
        <v>13222.0</v>
      </c>
      <c r="H50" s="18"/>
      <c r="I50" s="3"/>
      <c r="J50" s="75">
        <f t="shared" si="3"/>
        <v>46021</v>
      </c>
      <c r="K50" s="71">
        <f>SUMIF(E5:E127,J50,G5:G127)</f>
        <v>3970</v>
      </c>
      <c r="L50" s="76">
        <f t="shared" si="4"/>
        <v>38694</v>
      </c>
      <c r="M50" s="72">
        <f>M45*6</f>
        <v>53208.19355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46032.0</v>
      </c>
      <c r="F51" s="16" t="s">
        <v>28</v>
      </c>
      <c r="G51" s="23">
        <v>91300.0</v>
      </c>
      <c r="H51" s="18"/>
      <c r="I51" s="3"/>
      <c r="J51" s="75">
        <f t="shared" si="3"/>
        <v>46022</v>
      </c>
      <c r="K51" s="71">
        <f>SUMIF(E5:E127,J51,G5:G127)</f>
        <v>140</v>
      </c>
      <c r="L51" s="76">
        <f t="shared" si="4"/>
        <v>38834</v>
      </c>
      <c r="M51" s="72">
        <f>M45*7</f>
        <v>62076.22581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46032.0</v>
      </c>
      <c r="F52" s="16" t="s">
        <v>40</v>
      </c>
      <c r="G52" s="23">
        <v>1600.0</v>
      </c>
      <c r="H52" s="23"/>
      <c r="I52" s="3"/>
      <c r="J52" s="75">
        <f t="shared" si="3"/>
        <v>46023</v>
      </c>
      <c r="K52" s="71">
        <f>SUMIF(E5:E127,J52,G5:G127)</f>
        <v>650</v>
      </c>
      <c r="L52" s="76">
        <f t="shared" si="4"/>
        <v>39484</v>
      </c>
      <c r="M52" s="72">
        <f>M45*8</f>
        <v>70944.25806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46033.0</v>
      </c>
      <c r="F53" s="16" t="s">
        <v>11</v>
      </c>
      <c r="G53" s="23">
        <v>960.0</v>
      </c>
      <c r="H53" s="18"/>
      <c r="I53" s="3"/>
      <c r="J53" s="75">
        <f t="shared" si="3"/>
        <v>46024</v>
      </c>
      <c r="K53" s="71">
        <f>SUMIF(E5:E127,J53,G5:G127)</f>
        <v>7419</v>
      </c>
      <c r="L53" s="76">
        <f t="shared" si="4"/>
        <v>46903</v>
      </c>
      <c r="M53" s="72">
        <f>M45*9</f>
        <v>79812.29032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46033.0</v>
      </c>
      <c r="F54" s="16" t="s">
        <v>11</v>
      </c>
      <c r="G54" s="23">
        <v>1102.0</v>
      </c>
      <c r="H54" s="18"/>
      <c r="I54" s="3"/>
      <c r="J54" s="75">
        <f t="shared" si="3"/>
        <v>46025</v>
      </c>
      <c r="K54" s="71">
        <f>SUMIF(E5:E127,J54,G5:G127)</f>
        <v>1240</v>
      </c>
      <c r="L54" s="76">
        <f t="shared" si="4"/>
        <v>48143</v>
      </c>
      <c r="M54" s="72">
        <f>M45*10</f>
        <v>88680.32258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46033.0</v>
      </c>
      <c r="F55" s="16" t="s">
        <v>16</v>
      </c>
      <c r="G55" s="23">
        <v>138.0</v>
      </c>
      <c r="H55" s="18"/>
      <c r="I55" s="3"/>
      <c r="J55" s="75">
        <f t="shared" si="3"/>
        <v>46026</v>
      </c>
      <c r="K55" s="71">
        <f>SUMIF(E5:E127,J55,G5:G127)</f>
        <v>9472</v>
      </c>
      <c r="L55" s="76">
        <f t="shared" si="4"/>
        <v>57615</v>
      </c>
      <c r="M55" s="72">
        <f>M45*11</f>
        <v>97548.35484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46034.0</v>
      </c>
      <c r="F56" s="16" t="s">
        <v>11</v>
      </c>
      <c r="G56" s="23">
        <v>1430.0</v>
      </c>
      <c r="H56" s="18"/>
      <c r="I56" s="3"/>
      <c r="J56" s="75">
        <f t="shared" si="3"/>
        <v>46027</v>
      </c>
      <c r="K56" s="71">
        <f>SUMIF(E5:E127,J56,G5:G127)</f>
        <v>5511</v>
      </c>
      <c r="L56" s="76">
        <f t="shared" si="4"/>
        <v>63126</v>
      </c>
      <c r="M56" s="72">
        <f>M45*12</f>
        <v>106416.3871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46034.0</v>
      </c>
      <c r="F57" s="16" t="s">
        <v>16</v>
      </c>
      <c r="G57" s="23">
        <v>3237.0</v>
      </c>
      <c r="H57" s="18"/>
      <c r="I57" s="3"/>
      <c r="J57" s="75">
        <f t="shared" si="3"/>
        <v>46028</v>
      </c>
      <c r="K57" s="71">
        <f>SUMIF(E5:E127,J57,G5:G127)</f>
        <v>4072</v>
      </c>
      <c r="L57" s="76">
        <f t="shared" si="4"/>
        <v>67198</v>
      </c>
      <c r="M57" s="72">
        <f>M45*13</f>
        <v>115284.4194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46036.0</v>
      </c>
      <c r="F58" s="16" t="s">
        <v>13</v>
      </c>
      <c r="G58" s="23">
        <v>770.0</v>
      </c>
      <c r="H58" s="18"/>
      <c r="I58" s="3"/>
      <c r="J58" s="75">
        <f t="shared" si="3"/>
        <v>46029</v>
      </c>
      <c r="K58" s="71">
        <f>SUMIF(E5:E127,J58,G5:G127)</f>
        <v>3536</v>
      </c>
      <c r="L58" s="76">
        <f t="shared" si="4"/>
        <v>70734</v>
      </c>
      <c r="M58" s="72">
        <f>M45*14</f>
        <v>124152.4516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46036.0</v>
      </c>
      <c r="F59" s="16" t="s">
        <v>13</v>
      </c>
      <c r="G59" s="23">
        <v>170.0</v>
      </c>
      <c r="H59" s="18"/>
      <c r="I59" s="3"/>
      <c r="J59" s="75">
        <f t="shared" si="3"/>
        <v>46030</v>
      </c>
      <c r="K59" s="71">
        <f>SUMIF(E5:E127,J59,G5:G127)</f>
        <v>5997</v>
      </c>
      <c r="L59" s="76">
        <f t="shared" si="4"/>
        <v>76731</v>
      </c>
      <c r="M59" s="72">
        <f>M45*15</f>
        <v>133020.4839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46036.0</v>
      </c>
      <c r="F60" s="16" t="s">
        <v>11</v>
      </c>
      <c r="G60" s="23">
        <v>480.0</v>
      </c>
      <c r="H60" s="18"/>
      <c r="I60" s="3"/>
      <c r="J60" s="75">
        <f t="shared" si="3"/>
        <v>46031</v>
      </c>
      <c r="K60" s="71">
        <f>SUMIF(E5:E127,J60,G5:G127)</f>
        <v>5000</v>
      </c>
      <c r="L60" s="76">
        <f t="shared" si="4"/>
        <v>81731</v>
      </c>
      <c r="M60" s="72">
        <f>M45*16</f>
        <v>141888.5161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46037.0</v>
      </c>
      <c r="F61" s="16" t="s">
        <v>11</v>
      </c>
      <c r="G61" s="23">
        <v>3520.0</v>
      </c>
      <c r="H61" s="18"/>
      <c r="I61" s="3"/>
      <c r="J61" s="75">
        <f t="shared" si="3"/>
        <v>46032</v>
      </c>
      <c r="K61" s="71">
        <f>SUMIF(E5:E127,J61,G5:G127)</f>
        <v>106122</v>
      </c>
      <c r="L61" s="76">
        <f t="shared" si="4"/>
        <v>187853</v>
      </c>
      <c r="M61" s="72">
        <f>M45*17</f>
        <v>150756.5484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46037.0</v>
      </c>
      <c r="F62" s="16" t="s">
        <v>41</v>
      </c>
      <c r="G62" s="23">
        <v>9551.0</v>
      </c>
      <c r="H62" s="18"/>
      <c r="I62" s="3"/>
      <c r="J62" s="75">
        <f t="shared" si="3"/>
        <v>46033</v>
      </c>
      <c r="K62" s="71">
        <f>SUMIF(E5:E127,J62,G5:G127)</f>
        <v>2200</v>
      </c>
      <c r="L62" s="76">
        <f t="shared" si="4"/>
        <v>190053</v>
      </c>
      <c r="M62" s="72">
        <f>M45*18</f>
        <v>159624.5806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46039.0</v>
      </c>
      <c r="F63" s="16" t="s">
        <v>11</v>
      </c>
      <c r="G63" s="23">
        <v>1420.0</v>
      </c>
      <c r="H63" s="23"/>
      <c r="I63" s="3"/>
      <c r="J63" s="75">
        <f t="shared" si="3"/>
        <v>46034</v>
      </c>
      <c r="K63" s="71">
        <f>SUMIF(E5:E127,J63,G5:G127)</f>
        <v>4667</v>
      </c>
      <c r="L63" s="76">
        <f t="shared" si="4"/>
        <v>194720</v>
      </c>
      <c r="M63" s="72">
        <f>M45*19</f>
        <v>168492.6129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46039.0</v>
      </c>
      <c r="F64" s="16" t="s">
        <v>16</v>
      </c>
      <c r="G64" s="23">
        <v>3109.0</v>
      </c>
      <c r="H64" s="18"/>
      <c r="I64" s="3"/>
      <c r="J64" s="75">
        <f t="shared" si="3"/>
        <v>46035</v>
      </c>
      <c r="K64" s="71">
        <f>SUMIF(E5:E127,J64,G5:G127)</f>
        <v>0</v>
      </c>
      <c r="L64" s="76">
        <f t="shared" si="4"/>
        <v>194720</v>
      </c>
      <c r="M64" s="72">
        <f>M45*20</f>
        <v>177360.6452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46039.0</v>
      </c>
      <c r="F65" s="16" t="s">
        <v>13</v>
      </c>
      <c r="G65" s="23">
        <v>469.0</v>
      </c>
      <c r="H65" s="23"/>
      <c r="I65" s="3"/>
      <c r="J65" s="75">
        <f t="shared" si="3"/>
        <v>46036</v>
      </c>
      <c r="K65" s="71">
        <f>SUMIF(E5:E127,J65,G5:G127)</f>
        <v>1420</v>
      </c>
      <c r="L65" s="76">
        <f t="shared" si="4"/>
        <v>196140</v>
      </c>
      <c r="M65" s="72">
        <f>M45*21</f>
        <v>186228.6774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46040.0</v>
      </c>
      <c r="F66" s="16" t="s">
        <v>11</v>
      </c>
      <c r="G66" s="23">
        <v>1642.0</v>
      </c>
      <c r="H66" s="18"/>
      <c r="I66" s="3"/>
      <c r="J66" s="75">
        <f t="shared" si="3"/>
        <v>46037</v>
      </c>
      <c r="K66" s="71">
        <f>SUMIF(E5:E127,J66,G5:G127)</f>
        <v>13071</v>
      </c>
      <c r="L66" s="76">
        <f t="shared" si="4"/>
        <v>209211</v>
      </c>
      <c r="M66" s="72">
        <f>M45*22</f>
        <v>195096.7097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46040.0</v>
      </c>
      <c r="F67" s="16" t="s">
        <v>17</v>
      </c>
      <c r="G67" s="23">
        <v>1000.0</v>
      </c>
      <c r="H67" s="18"/>
      <c r="I67" s="3"/>
      <c r="J67" s="75">
        <f t="shared" si="3"/>
        <v>46038</v>
      </c>
      <c r="K67" s="71">
        <f>SUMIF(E5:E127,J67,G5:G127)</f>
        <v>0</v>
      </c>
      <c r="L67" s="76">
        <f t="shared" si="4"/>
        <v>209211</v>
      </c>
      <c r="M67" s="72">
        <f>M45*23</f>
        <v>203964.7419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46041.0</v>
      </c>
      <c r="F68" s="16" t="s">
        <v>16</v>
      </c>
      <c r="G68" s="23">
        <v>1075.0</v>
      </c>
      <c r="H68" s="18"/>
      <c r="I68" s="3"/>
      <c r="J68" s="75">
        <f t="shared" si="3"/>
        <v>46039</v>
      </c>
      <c r="K68" s="71">
        <f>SUMIF(E5:E127,J68,G5:G127)</f>
        <v>4998</v>
      </c>
      <c r="L68" s="76">
        <f t="shared" si="4"/>
        <v>214209</v>
      </c>
      <c r="M68" s="72">
        <f>M45*24</f>
        <v>212832.7742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46041.0</v>
      </c>
      <c r="F69" s="16" t="s">
        <v>11</v>
      </c>
      <c r="G69" s="23">
        <v>2682.0</v>
      </c>
      <c r="H69" s="18"/>
      <c r="I69" s="3"/>
      <c r="J69" s="75">
        <f t="shared" si="3"/>
        <v>46040</v>
      </c>
      <c r="K69" s="71">
        <f>SUMIF(E5:E127,J69,G5:G127)</f>
        <v>2642</v>
      </c>
      <c r="L69" s="76">
        <f t="shared" si="4"/>
        <v>216851</v>
      </c>
      <c r="M69" s="72">
        <f>M45*25</f>
        <v>221700.8065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46041.0</v>
      </c>
      <c r="F70" s="16" t="s">
        <v>13</v>
      </c>
      <c r="G70" s="23">
        <v>120.0</v>
      </c>
      <c r="H70" s="23"/>
      <c r="I70" s="3"/>
      <c r="J70" s="75">
        <f t="shared" si="3"/>
        <v>46041</v>
      </c>
      <c r="K70" s="71">
        <f>SUMIF(E5:E127,J70,G5:G127)</f>
        <v>3877</v>
      </c>
      <c r="L70" s="76">
        <f t="shared" si="4"/>
        <v>220728</v>
      </c>
      <c r="M70" s="72">
        <f>M45*26</f>
        <v>230568.8387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46042.0</v>
      </c>
      <c r="F71" s="16" t="s">
        <v>11</v>
      </c>
      <c r="G71" s="23">
        <v>2738.0</v>
      </c>
      <c r="H71" s="18"/>
      <c r="I71" s="3"/>
      <c r="J71" s="75">
        <f t="shared" si="3"/>
        <v>46042</v>
      </c>
      <c r="K71" s="71">
        <f>SUMIF(E5:E127,J71,G5:G127)</f>
        <v>14863</v>
      </c>
      <c r="L71" s="76">
        <f t="shared" si="4"/>
        <v>235591</v>
      </c>
      <c r="M71" s="72">
        <f>M45*27</f>
        <v>239436.871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46042.0</v>
      </c>
      <c r="F72" s="16" t="s">
        <v>11</v>
      </c>
      <c r="G72" s="23">
        <v>485.0</v>
      </c>
      <c r="H72" s="18"/>
      <c r="I72" s="3"/>
      <c r="J72" s="75">
        <f t="shared" si="3"/>
        <v>46043</v>
      </c>
      <c r="K72" s="71">
        <f>SUMIF(E5:E127,J72,G5:G127)</f>
        <v>2841</v>
      </c>
      <c r="L72" s="76">
        <f t="shared" si="4"/>
        <v>238432</v>
      </c>
      <c r="M72" s="72">
        <f>M45*28</f>
        <v>248304.9032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46042.0</v>
      </c>
      <c r="F73" s="16" t="s">
        <v>41</v>
      </c>
      <c r="G73" s="23">
        <v>430.0</v>
      </c>
      <c r="H73" s="18"/>
      <c r="I73" s="3"/>
      <c r="J73" s="75">
        <f t="shared" si="3"/>
        <v>46044</v>
      </c>
      <c r="K73" s="71">
        <f>SUMIF(E5:E127,J73,G5:G127)</f>
        <v>12210</v>
      </c>
      <c r="L73" s="76">
        <f t="shared" si="4"/>
        <v>250642</v>
      </c>
      <c r="M73" s="72">
        <f>M45*29</f>
        <v>257172.9355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46042.0</v>
      </c>
      <c r="F74" s="16" t="s">
        <v>28</v>
      </c>
      <c r="G74" s="23">
        <v>5990.0</v>
      </c>
      <c r="H74" s="18"/>
      <c r="I74" s="3"/>
      <c r="J74" s="75">
        <f t="shared" si="3"/>
        <v>46045</v>
      </c>
      <c r="K74" s="71">
        <f>SUMIF(E5:E127,J74,G5:G127)</f>
        <v>11093</v>
      </c>
      <c r="L74" s="76">
        <f t="shared" si="4"/>
        <v>261735</v>
      </c>
      <c r="M74" s="72">
        <f>M45*30</f>
        <v>266040.9677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46042.0</v>
      </c>
      <c r="F75" s="16" t="s">
        <v>11</v>
      </c>
      <c r="G75" s="23">
        <v>4220.0</v>
      </c>
      <c r="H75" s="18"/>
      <c r="I75" s="3"/>
      <c r="J75" s="75">
        <f t="shared" si="3"/>
        <v>46046</v>
      </c>
      <c r="K75" s="71">
        <f>SUMIF(E5:E127,J75,G5:G127)</f>
        <v>4396</v>
      </c>
      <c r="L75" s="76">
        <f t="shared" si="4"/>
        <v>266131</v>
      </c>
      <c r="M75" s="72">
        <f>M45*31</f>
        <v>274909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46042.0</v>
      </c>
      <c r="F76" s="16" t="s">
        <v>17</v>
      </c>
      <c r="G76" s="23">
        <v>1000.0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46043.0</v>
      </c>
      <c r="F77" s="16" t="s">
        <v>17</v>
      </c>
      <c r="G77" s="23">
        <v>1000.0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46043.0</v>
      </c>
      <c r="F78" s="16" t="s">
        <v>17</v>
      </c>
      <c r="G78" s="23">
        <v>200.0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46043.0</v>
      </c>
      <c r="F79" s="16" t="s">
        <v>16</v>
      </c>
      <c r="G79" s="23">
        <v>1641.0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46044.0</v>
      </c>
      <c r="F80" s="16" t="s">
        <v>11</v>
      </c>
      <c r="G80" s="23">
        <v>1680.0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46044.0</v>
      </c>
      <c r="F81" s="16" t="s">
        <v>41</v>
      </c>
      <c r="G81" s="23">
        <v>8250.0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46044.0</v>
      </c>
      <c r="F82" s="16" t="s">
        <v>11</v>
      </c>
      <c r="G82" s="23">
        <v>2280.0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46045.0</v>
      </c>
      <c r="F83" s="16" t="s">
        <v>11</v>
      </c>
      <c r="G83" s="23">
        <v>1050.0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46045.0</v>
      </c>
      <c r="F84" s="16" t="s">
        <v>9</v>
      </c>
      <c r="G84" s="23">
        <v>7865.0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46045.0</v>
      </c>
      <c r="F85" s="16" t="s">
        <v>11</v>
      </c>
      <c r="G85" s="23">
        <v>2178.0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46046.0</v>
      </c>
      <c r="F86" s="16" t="s">
        <v>9</v>
      </c>
      <c r="G86" s="23">
        <v>3600.0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46046.0</v>
      </c>
      <c r="F87" s="16" t="s">
        <v>13</v>
      </c>
      <c r="G87" s="23">
        <v>796.0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78"/>
      <c r="F88" s="79"/>
      <c r="G88" s="18"/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78"/>
      <c r="F89" s="79"/>
      <c r="G89" s="18"/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78"/>
      <c r="F90" s="79"/>
      <c r="G90" s="18"/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78"/>
      <c r="F91" s="79"/>
      <c r="G91" s="18"/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78"/>
      <c r="F92" s="79"/>
      <c r="G92" s="18"/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78"/>
      <c r="F93" s="79"/>
      <c r="G93" s="18"/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78"/>
      <c r="F94" s="79"/>
      <c r="G94" s="18"/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78"/>
      <c r="F95" s="79"/>
      <c r="G95" s="18"/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78"/>
      <c r="F96" s="79"/>
      <c r="G96" s="18"/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78"/>
      <c r="F97" s="79"/>
      <c r="G97" s="18"/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78"/>
      <c r="F98" s="79"/>
      <c r="G98" s="18"/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78"/>
      <c r="F99" s="79"/>
      <c r="G99" s="18"/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78"/>
      <c r="F100" s="79"/>
      <c r="G100" s="18"/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78"/>
      <c r="F101" s="79"/>
      <c r="G101" s="18"/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78"/>
      <c r="F102" s="79"/>
      <c r="G102" s="18"/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78"/>
      <c r="F103" s="79"/>
      <c r="G103" s="18"/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78"/>
      <c r="F104" s="79"/>
      <c r="G104" s="18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78"/>
      <c r="F105" s="79"/>
      <c r="G105" s="18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78"/>
      <c r="F106" s="79"/>
      <c r="G106" s="18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78"/>
      <c r="F107" s="79"/>
      <c r="G107" s="18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78"/>
      <c r="F108" s="79"/>
      <c r="G108" s="18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78"/>
      <c r="F109" s="79"/>
      <c r="G109" s="18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78"/>
      <c r="F110" s="79"/>
      <c r="G110" s="18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78"/>
      <c r="F111" s="79"/>
      <c r="G111" s="18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78"/>
      <c r="F112" s="79"/>
      <c r="G112" s="18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78"/>
      <c r="F113" s="79"/>
      <c r="G113" s="18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78"/>
      <c r="F114" s="79"/>
      <c r="G114" s="18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78"/>
      <c r="F115" s="79"/>
      <c r="G115" s="18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78"/>
      <c r="F116" s="79"/>
      <c r="G116" s="18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18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79"/>
      <c r="G125" s="18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79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79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266131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E5:E127">
      <formula1>'26Jan'!$J$45:$J$75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46054.0</v>
      </c>
      <c r="D1" s="3"/>
      <c r="E1" s="4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761918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761918.0</v>
      </c>
      <c r="D5" s="3"/>
      <c r="E5" s="15">
        <v>46047.0</v>
      </c>
      <c r="F5" s="16" t="s">
        <v>9</v>
      </c>
      <c r="G5" s="17">
        <v>598.0</v>
      </c>
      <c r="H5" s="18"/>
      <c r="I5" s="3"/>
      <c r="J5" s="19" t="s">
        <v>10</v>
      </c>
      <c r="K5" s="20">
        <f>G128+C40</f>
        <v>449368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46047.0</v>
      </c>
      <c r="F6" s="16" t="s">
        <v>11</v>
      </c>
      <c r="G6" s="23">
        <v>1430.0</v>
      </c>
      <c r="H6" s="18"/>
      <c r="I6" s="3"/>
      <c r="J6" s="24" t="s">
        <v>12</v>
      </c>
      <c r="K6" s="25">
        <f>K4-K5</f>
        <v>312550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46047.0</v>
      </c>
      <c r="F7" s="16" t="s">
        <v>14</v>
      </c>
      <c r="G7" s="23">
        <v>4167.0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46048.0</v>
      </c>
      <c r="F8" s="16" t="s">
        <v>11</v>
      </c>
      <c r="G8" s="23">
        <v>1420.0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46048.0</v>
      </c>
      <c r="F9" s="16" t="s">
        <v>16</v>
      </c>
      <c r="G9" s="23">
        <v>2493.0</v>
      </c>
      <c r="H9" s="18"/>
      <c r="I9" s="3"/>
      <c r="J9" s="28" t="s">
        <v>18</v>
      </c>
      <c r="K9" s="29">
        <f>EDATE(B1,-1) + 24</f>
        <v>46047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46049.0</v>
      </c>
      <c r="F10" s="16" t="s">
        <v>11</v>
      </c>
      <c r="G10" s="23">
        <v>1320.0</v>
      </c>
      <c r="H10" s="23"/>
      <c r="I10" s="3"/>
      <c r="J10" s="28" t="s">
        <v>19</v>
      </c>
      <c r="K10" s="31">
        <f>EDATE(B1,0) + 23</f>
        <v>46077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46049.0</v>
      </c>
      <c r="F11" s="16" t="s">
        <v>17</v>
      </c>
      <c r="G11" s="23">
        <v>1000.0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46049.0</v>
      </c>
      <c r="F12" s="16" t="s">
        <v>9</v>
      </c>
      <c r="G12" s="23">
        <v>200.0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46049.0</v>
      </c>
      <c r="F13" s="16" t="s">
        <v>11</v>
      </c>
      <c r="G13" s="23">
        <v>2030.0</v>
      </c>
      <c r="H13" s="18"/>
      <c r="I13" s="3"/>
      <c r="J13" s="33" t="s">
        <v>22</v>
      </c>
      <c r="K13" s="34">
        <v>300000.0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761918</v>
      </c>
      <c r="D14" s="3"/>
      <c r="E14" s="15">
        <v>46049.0</v>
      </c>
      <c r="F14" s="16" t="s">
        <v>13</v>
      </c>
      <c r="G14" s="23">
        <v>1021.0</v>
      </c>
      <c r="H14" s="18"/>
      <c r="I14" s="3"/>
      <c r="J14" s="37" t="s">
        <v>24</v>
      </c>
      <c r="K14" s="38">
        <f>K6-K13</f>
        <v>12550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46050.0</v>
      </c>
      <c r="F15" s="16" t="s">
        <v>13</v>
      </c>
      <c r="G15" s="23">
        <v>138.0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46050.0</v>
      </c>
      <c r="F16" s="16" t="s">
        <v>11</v>
      </c>
      <c r="G16" s="23">
        <v>3100.0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46050.0</v>
      </c>
      <c r="F17" s="16" t="s">
        <v>13</v>
      </c>
      <c r="G17" s="23">
        <v>509.0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46050.0</v>
      </c>
      <c r="F18" s="16" t="s">
        <v>11</v>
      </c>
      <c r="G18" s="23">
        <v>5148.0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46050.0</v>
      </c>
      <c r="F19" s="16" t="s">
        <v>13</v>
      </c>
      <c r="G19" s="23">
        <v>870.0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44">
        <v>450.0</v>
      </c>
      <c r="D20" s="3"/>
      <c r="E20" s="15">
        <v>46051.0</v>
      </c>
      <c r="F20" s="16" t="s">
        <v>11</v>
      </c>
      <c r="G20" s="23">
        <v>430.0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46051.0</v>
      </c>
      <c r="F21" s="16" t="s">
        <v>11</v>
      </c>
      <c r="G21" s="23">
        <v>2671.0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46052.0</v>
      </c>
      <c r="F22" s="16" t="s">
        <v>11</v>
      </c>
      <c r="G22" s="23">
        <v>2120.0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46052.0</v>
      </c>
      <c r="F23" s="16" t="s">
        <v>17</v>
      </c>
      <c r="G23" s="23">
        <v>1000.0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12230.0</v>
      </c>
      <c r="D24" s="3"/>
      <c r="E24" s="15">
        <v>46053.0</v>
      </c>
      <c r="F24" s="16" t="s">
        <v>11</v>
      </c>
      <c r="G24" s="23">
        <v>2000.0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46053.0</v>
      </c>
      <c r="F25" s="16" t="s">
        <v>14</v>
      </c>
      <c r="G25" s="53">
        <v>16954.0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46053.0</v>
      </c>
      <c r="F26" s="16" t="s">
        <v>13</v>
      </c>
      <c r="G26" s="23">
        <v>448.0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46054.0</v>
      </c>
      <c r="F27" s="16" t="s">
        <v>9</v>
      </c>
      <c r="G27" s="23">
        <v>10440.0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46054.0</v>
      </c>
      <c r="F28" s="16" t="s">
        <v>17</v>
      </c>
      <c r="G28" s="23">
        <v>1000.0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46054.0</v>
      </c>
      <c r="F29" s="16" t="s">
        <v>11</v>
      </c>
      <c r="G29" s="23">
        <v>2300.0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46055.0</v>
      </c>
      <c r="F30" s="16" t="s">
        <v>13</v>
      </c>
      <c r="G30" s="23">
        <v>1329.0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46055.0</v>
      </c>
      <c r="F31" s="16" t="s">
        <v>16</v>
      </c>
      <c r="G31" s="23">
        <v>5560.0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46055.0</v>
      </c>
      <c r="F32" s="16" t="s">
        <v>11</v>
      </c>
      <c r="G32" s="23">
        <v>1080.0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46055.0</v>
      </c>
      <c r="F33" s="16" t="s">
        <v>16</v>
      </c>
      <c r="G33" s="23">
        <v>789.0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46053.0</v>
      </c>
      <c r="F34" s="16" t="s">
        <v>9</v>
      </c>
      <c r="G34" s="23">
        <v>7500.0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46054.0</v>
      </c>
      <c r="F35" s="16" t="s">
        <v>40</v>
      </c>
      <c r="G35" s="23">
        <v>22419.0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46056.0</v>
      </c>
      <c r="F36" s="16" t="s">
        <v>13</v>
      </c>
      <c r="G36" s="23">
        <v>1313.0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46056.0</v>
      </c>
      <c r="F37" s="16" t="s">
        <v>17</v>
      </c>
      <c r="G37" s="23">
        <v>2000.0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46056.0</v>
      </c>
      <c r="F38" s="16" t="s">
        <v>28</v>
      </c>
      <c r="G38" s="23">
        <v>4020.0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46056.0</v>
      </c>
      <c r="F39" s="16" t="s">
        <v>11</v>
      </c>
      <c r="G39" s="23">
        <v>1980.0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161857</v>
      </c>
      <c r="D40" s="3"/>
      <c r="E40" s="15">
        <v>46056.0</v>
      </c>
      <c r="F40" s="16" t="s">
        <v>13</v>
      </c>
      <c r="G40" s="23">
        <v>1000.0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46057.0</v>
      </c>
      <c r="F41" s="16" t="s">
        <v>17</v>
      </c>
      <c r="G41" s="23">
        <v>3000.0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46057.0</v>
      </c>
      <c r="F42" s="16" t="s">
        <v>11</v>
      </c>
      <c r="G42" s="23">
        <v>3760.0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46057.0</v>
      </c>
      <c r="F43" s="16" t="s">
        <v>11</v>
      </c>
      <c r="G43" s="23">
        <v>400.0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46057.0</v>
      </c>
      <c r="F44" s="16" t="s">
        <v>28</v>
      </c>
      <c r="G44" s="23">
        <v>1980.0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46057.0</v>
      </c>
      <c r="F45" s="16" t="s">
        <v>11</v>
      </c>
      <c r="G45" s="23">
        <v>480.0</v>
      </c>
      <c r="H45" s="18"/>
      <c r="I45" s="3"/>
      <c r="J45" s="69">
        <f>EDATE(B1,-1) + 24 + 0</f>
        <v>46047</v>
      </c>
      <c r="K45" s="70">
        <f>SUMIF(E5:E127,J45,G5:G127)</f>
        <v>6195</v>
      </c>
      <c r="L45" s="71">
        <f>K45</f>
        <v>6195</v>
      </c>
      <c r="M45" s="72">
        <f>(K4-C40-K13)/(K10-K9+1)</f>
        <v>9679.387097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46057.0</v>
      </c>
      <c r="F46" s="16" t="s">
        <v>11</v>
      </c>
      <c r="G46" s="23">
        <v>7128.0</v>
      </c>
      <c r="H46" s="18"/>
      <c r="I46" s="3"/>
      <c r="J46" s="75">
        <f t="shared" ref="J46:J75" si="3">J45 + 1</f>
        <v>46048</v>
      </c>
      <c r="K46" s="71">
        <f>SUMIF(E5:E127,J46,G5:G127)</f>
        <v>3913</v>
      </c>
      <c r="L46" s="76">
        <f t="shared" ref="L46:L75" si="4">SUM(L45,K46)</f>
        <v>10108</v>
      </c>
      <c r="M46" s="72">
        <f>M45*2</f>
        <v>19358.77419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46058.0</v>
      </c>
      <c r="F47" s="16" t="s">
        <v>13</v>
      </c>
      <c r="G47" s="23">
        <v>570.0</v>
      </c>
      <c r="H47" s="18"/>
      <c r="I47" s="3"/>
      <c r="J47" s="75">
        <f t="shared" si="3"/>
        <v>46049</v>
      </c>
      <c r="K47" s="71">
        <f>SUMIF(E5:E127,J47,G5:G127)</f>
        <v>5571</v>
      </c>
      <c r="L47" s="76">
        <f t="shared" si="4"/>
        <v>15679</v>
      </c>
      <c r="M47" s="72">
        <f>M45*3</f>
        <v>29038.16129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46058.0</v>
      </c>
      <c r="F48" s="16" t="s">
        <v>11</v>
      </c>
      <c r="G48" s="23">
        <v>5600.0</v>
      </c>
      <c r="H48" s="18"/>
      <c r="I48" s="3"/>
      <c r="J48" s="75">
        <f t="shared" si="3"/>
        <v>46050</v>
      </c>
      <c r="K48" s="71">
        <f>SUMIF(E5:E127,J48,G5:G127)</f>
        <v>9765</v>
      </c>
      <c r="L48" s="76">
        <f t="shared" si="4"/>
        <v>25444</v>
      </c>
      <c r="M48" s="72">
        <f>M45*4</f>
        <v>38717.54839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46058.0</v>
      </c>
      <c r="F49" s="16" t="s">
        <v>17</v>
      </c>
      <c r="G49" s="23">
        <v>4000.0</v>
      </c>
      <c r="H49" s="18"/>
      <c r="I49" s="3"/>
      <c r="J49" s="75">
        <f t="shared" si="3"/>
        <v>46051</v>
      </c>
      <c r="K49" s="71">
        <f>SUMIF(E5:E127,J49,G5:G127)</f>
        <v>3101</v>
      </c>
      <c r="L49" s="76">
        <f t="shared" si="4"/>
        <v>28545</v>
      </c>
      <c r="M49" s="72">
        <f>M45*5</f>
        <v>48396.93548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46058.0</v>
      </c>
      <c r="F50" s="16" t="s">
        <v>40</v>
      </c>
      <c r="G50" s="23">
        <v>1211.0</v>
      </c>
      <c r="H50" s="18"/>
      <c r="I50" s="3"/>
      <c r="J50" s="75">
        <f t="shared" si="3"/>
        <v>46052</v>
      </c>
      <c r="K50" s="71">
        <f>SUMIF(E5:E127,J50,G5:G127)</f>
        <v>3120</v>
      </c>
      <c r="L50" s="76">
        <f t="shared" si="4"/>
        <v>31665</v>
      </c>
      <c r="M50" s="72">
        <f>M45*6</f>
        <v>58076.32258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46058.0</v>
      </c>
      <c r="F51" s="16" t="s">
        <v>13</v>
      </c>
      <c r="G51" s="23">
        <v>899.0</v>
      </c>
      <c r="H51" s="18"/>
      <c r="I51" s="3"/>
      <c r="J51" s="75">
        <f t="shared" si="3"/>
        <v>46053</v>
      </c>
      <c r="K51" s="71">
        <f>SUMIF(E5:E127,J51,G5:G127)</f>
        <v>26902</v>
      </c>
      <c r="L51" s="76">
        <f t="shared" si="4"/>
        <v>58567</v>
      </c>
      <c r="M51" s="72">
        <f>M45*7</f>
        <v>67755.70968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46058.0</v>
      </c>
      <c r="F52" s="16" t="s">
        <v>13</v>
      </c>
      <c r="G52" s="23">
        <v>1356.0</v>
      </c>
      <c r="H52" s="23"/>
      <c r="I52" s="3"/>
      <c r="J52" s="75">
        <f t="shared" si="3"/>
        <v>46054</v>
      </c>
      <c r="K52" s="71">
        <f>SUMIF(E5:E127,J52,G5:G127)</f>
        <v>36159</v>
      </c>
      <c r="L52" s="76">
        <f t="shared" si="4"/>
        <v>94726</v>
      </c>
      <c r="M52" s="72">
        <f>M45*8</f>
        <v>77435.09677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46059.0</v>
      </c>
      <c r="F53" s="16" t="s">
        <v>11</v>
      </c>
      <c r="G53" s="23">
        <v>510.0</v>
      </c>
      <c r="H53" s="18"/>
      <c r="I53" s="3"/>
      <c r="J53" s="75">
        <f t="shared" si="3"/>
        <v>46055</v>
      </c>
      <c r="K53" s="71">
        <f>SUMIF(E5:E127,J53,G5:G127)</f>
        <v>8758</v>
      </c>
      <c r="L53" s="76">
        <f t="shared" si="4"/>
        <v>103484</v>
      </c>
      <c r="M53" s="72">
        <f>M45*9</f>
        <v>87114.48387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46059.0</v>
      </c>
      <c r="F54" s="16" t="s">
        <v>13</v>
      </c>
      <c r="G54" s="23">
        <v>1445.0</v>
      </c>
      <c r="H54" s="18"/>
      <c r="I54" s="3"/>
      <c r="J54" s="75">
        <f t="shared" si="3"/>
        <v>46056</v>
      </c>
      <c r="K54" s="71">
        <f>SUMIF(E5:E127,J54,G5:G127)</f>
        <v>10313</v>
      </c>
      <c r="L54" s="76">
        <f t="shared" si="4"/>
        <v>113797</v>
      </c>
      <c r="M54" s="72">
        <f>M45*10</f>
        <v>96793.87097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46059.0</v>
      </c>
      <c r="F55" s="16" t="s">
        <v>11</v>
      </c>
      <c r="G55" s="23">
        <v>2060.0</v>
      </c>
      <c r="H55" s="18"/>
      <c r="I55" s="3"/>
      <c r="J55" s="75">
        <f t="shared" si="3"/>
        <v>46057</v>
      </c>
      <c r="K55" s="71">
        <f>SUMIF(E5:E127,J55,G5:G127)</f>
        <v>16748</v>
      </c>
      <c r="L55" s="76">
        <f t="shared" si="4"/>
        <v>130545</v>
      </c>
      <c r="M55" s="72">
        <f>M45*11</f>
        <v>106473.2581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46059.0</v>
      </c>
      <c r="F56" s="16" t="s">
        <v>16</v>
      </c>
      <c r="G56" s="23">
        <v>4435.0</v>
      </c>
      <c r="H56" s="18"/>
      <c r="I56" s="3"/>
      <c r="J56" s="75">
        <f t="shared" si="3"/>
        <v>46058</v>
      </c>
      <c r="K56" s="71">
        <f>SUMIF(E5:E127,J56,G5:G127)</f>
        <v>13636</v>
      </c>
      <c r="L56" s="76">
        <f t="shared" si="4"/>
        <v>144181</v>
      </c>
      <c r="M56" s="72">
        <f>M45*12</f>
        <v>116152.6452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46060.0</v>
      </c>
      <c r="F57" s="16" t="s">
        <v>13</v>
      </c>
      <c r="G57" s="23">
        <v>286.0</v>
      </c>
      <c r="H57" s="18"/>
      <c r="I57" s="3"/>
      <c r="J57" s="75">
        <f t="shared" si="3"/>
        <v>46059</v>
      </c>
      <c r="K57" s="71">
        <f>SUMIF(E5:E127,J57,G5:G127)</f>
        <v>8450</v>
      </c>
      <c r="L57" s="76">
        <f t="shared" si="4"/>
        <v>152631</v>
      </c>
      <c r="M57" s="72">
        <f>M45*13</f>
        <v>125832.0323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46060.0</v>
      </c>
      <c r="F58" s="16" t="s">
        <v>11</v>
      </c>
      <c r="G58" s="23">
        <v>2000.0</v>
      </c>
      <c r="H58" s="18"/>
      <c r="I58" s="3"/>
      <c r="J58" s="75">
        <f t="shared" si="3"/>
        <v>46060</v>
      </c>
      <c r="K58" s="71">
        <f>SUMIF(E5:E127,J58,G5:G127)</f>
        <v>5745</v>
      </c>
      <c r="L58" s="76">
        <f t="shared" si="4"/>
        <v>158376</v>
      </c>
      <c r="M58" s="72">
        <f>M45*14</f>
        <v>135511.4194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46060.0</v>
      </c>
      <c r="F59" s="16" t="s">
        <v>13</v>
      </c>
      <c r="G59" s="23">
        <v>298.0</v>
      </c>
      <c r="H59" s="18"/>
      <c r="I59" s="3"/>
      <c r="J59" s="75">
        <f t="shared" si="3"/>
        <v>46061</v>
      </c>
      <c r="K59" s="71">
        <f>SUMIF(E5:E127,J59,G5:G127)</f>
        <v>12797</v>
      </c>
      <c r="L59" s="76">
        <f t="shared" si="4"/>
        <v>171173</v>
      </c>
      <c r="M59" s="72">
        <f>M45*15</f>
        <v>145190.8065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46060.0</v>
      </c>
      <c r="F60" s="16" t="s">
        <v>9</v>
      </c>
      <c r="G60" s="23">
        <v>1161.0</v>
      </c>
      <c r="H60" s="18"/>
      <c r="I60" s="3"/>
      <c r="J60" s="75">
        <f t="shared" si="3"/>
        <v>46062</v>
      </c>
      <c r="K60" s="71">
        <f>SUMIF(E5:E127,J60,G5:G127)</f>
        <v>2400</v>
      </c>
      <c r="L60" s="76">
        <f t="shared" si="4"/>
        <v>173573</v>
      </c>
      <c r="M60" s="72">
        <f>M45*16</f>
        <v>154870.1935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46060.0</v>
      </c>
      <c r="F61" s="16" t="s">
        <v>11</v>
      </c>
      <c r="G61" s="23">
        <v>500.0</v>
      </c>
      <c r="H61" s="18"/>
      <c r="I61" s="3"/>
      <c r="J61" s="75">
        <f t="shared" si="3"/>
        <v>46063</v>
      </c>
      <c r="K61" s="71">
        <f>SUMIF(E5:E127,J61,G5:G127)</f>
        <v>1256</v>
      </c>
      <c r="L61" s="76">
        <f t="shared" si="4"/>
        <v>174829</v>
      </c>
      <c r="M61" s="72">
        <f>M45*17</f>
        <v>164549.5806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46060.0</v>
      </c>
      <c r="F62" s="16" t="s">
        <v>11</v>
      </c>
      <c r="G62" s="23">
        <v>500.0</v>
      </c>
      <c r="H62" s="18"/>
      <c r="I62" s="3"/>
      <c r="J62" s="75">
        <f t="shared" si="3"/>
        <v>46064</v>
      </c>
      <c r="K62" s="71">
        <f>SUMIF(E5:E127,J62,G5:G127)</f>
        <v>5751</v>
      </c>
      <c r="L62" s="76">
        <f t="shared" si="4"/>
        <v>180580</v>
      </c>
      <c r="M62" s="72">
        <f>M45*18</f>
        <v>174228.9677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46060.0</v>
      </c>
      <c r="F63" s="16" t="s">
        <v>17</v>
      </c>
      <c r="G63" s="23">
        <v>1000.0</v>
      </c>
      <c r="H63" s="23"/>
      <c r="I63" s="3"/>
      <c r="J63" s="75">
        <f t="shared" si="3"/>
        <v>46065</v>
      </c>
      <c r="K63" s="71">
        <f>SUMIF(E5:E127,J63,G5:G127)</f>
        <v>2712</v>
      </c>
      <c r="L63" s="76">
        <f t="shared" si="4"/>
        <v>183292</v>
      </c>
      <c r="M63" s="72">
        <f>M45*19</f>
        <v>183908.3548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46061.0</v>
      </c>
      <c r="F64" s="16" t="s">
        <v>16</v>
      </c>
      <c r="G64" s="23">
        <v>3525.0</v>
      </c>
      <c r="H64" s="18"/>
      <c r="I64" s="3"/>
      <c r="J64" s="75">
        <f t="shared" si="3"/>
        <v>46066</v>
      </c>
      <c r="K64" s="71">
        <f>SUMIF(E5:E127,J64,G5:G127)</f>
        <v>17734</v>
      </c>
      <c r="L64" s="76">
        <f t="shared" si="4"/>
        <v>201026</v>
      </c>
      <c r="M64" s="72">
        <f>M45*20</f>
        <v>193587.7419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46061.0</v>
      </c>
      <c r="F65" s="16" t="s">
        <v>11</v>
      </c>
      <c r="G65" s="23">
        <v>4636.0</v>
      </c>
      <c r="H65" s="23"/>
      <c r="I65" s="3"/>
      <c r="J65" s="75">
        <f t="shared" si="3"/>
        <v>46067</v>
      </c>
      <c r="K65" s="71">
        <f>SUMIF(E5:E127,J65,G5:G127)</f>
        <v>13037</v>
      </c>
      <c r="L65" s="76">
        <f t="shared" si="4"/>
        <v>214063</v>
      </c>
      <c r="M65" s="72">
        <f>M45*21</f>
        <v>203267.129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46061.0</v>
      </c>
      <c r="F66" s="16" t="s">
        <v>16</v>
      </c>
      <c r="G66" s="23">
        <v>4636.0</v>
      </c>
      <c r="H66" s="18"/>
      <c r="I66" s="3"/>
      <c r="J66" s="75">
        <f t="shared" si="3"/>
        <v>46068</v>
      </c>
      <c r="K66" s="71">
        <f>SUMIF(E5:E127,J66,G5:G127)</f>
        <v>12947</v>
      </c>
      <c r="L66" s="76">
        <f t="shared" si="4"/>
        <v>227010</v>
      </c>
      <c r="M66" s="72">
        <f>M45*22</f>
        <v>212946.5161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46062.0</v>
      </c>
      <c r="F67" s="16" t="s">
        <v>11</v>
      </c>
      <c r="G67" s="23">
        <v>2000.0</v>
      </c>
      <c r="H67" s="18"/>
      <c r="I67" s="3"/>
      <c r="J67" s="75">
        <f t="shared" si="3"/>
        <v>46069</v>
      </c>
      <c r="K67" s="71">
        <f>SUMIF(E5:E127,J67,G5:G127)</f>
        <v>6607</v>
      </c>
      <c r="L67" s="76">
        <f t="shared" si="4"/>
        <v>233617</v>
      </c>
      <c r="M67" s="72">
        <f>M45*23</f>
        <v>222625.9032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46062.0</v>
      </c>
      <c r="F68" s="16" t="s">
        <v>9</v>
      </c>
      <c r="G68" s="23">
        <v>400.0</v>
      </c>
      <c r="H68" s="18"/>
      <c r="I68" s="3"/>
      <c r="J68" s="75">
        <f t="shared" si="3"/>
        <v>46070</v>
      </c>
      <c r="K68" s="71">
        <f>SUMIF(E5:E127,J68,G5:G127)</f>
        <v>4048</v>
      </c>
      <c r="L68" s="76">
        <f t="shared" si="4"/>
        <v>237665</v>
      </c>
      <c r="M68" s="72">
        <f>M45*24</f>
        <v>232305.2903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46063.0</v>
      </c>
      <c r="F69" s="16" t="s">
        <v>13</v>
      </c>
      <c r="G69" s="23">
        <v>289.0</v>
      </c>
      <c r="H69" s="18"/>
      <c r="I69" s="3"/>
      <c r="J69" s="75">
        <f t="shared" si="3"/>
        <v>46071</v>
      </c>
      <c r="K69" s="71">
        <f>SUMIF(E5:E127,J69,G5:G127)</f>
        <v>7338</v>
      </c>
      <c r="L69" s="76">
        <f t="shared" si="4"/>
        <v>245003</v>
      </c>
      <c r="M69" s="72">
        <f>M45*25</f>
        <v>241984.6774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46063.0</v>
      </c>
      <c r="F70" s="16" t="s">
        <v>16</v>
      </c>
      <c r="G70" s="23">
        <v>967.0</v>
      </c>
      <c r="H70" s="23"/>
      <c r="I70" s="3"/>
      <c r="J70" s="75">
        <f t="shared" si="3"/>
        <v>46072</v>
      </c>
      <c r="K70" s="71">
        <f>SUMIF(E5:E127,J70,G5:G127)</f>
        <v>7667</v>
      </c>
      <c r="L70" s="76">
        <f t="shared" si="4"/>
        <v>252670</v>
      </c>
      <c r="M70" s="72">
        <f>M45*26</f>
        <v>251664.0645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46064.0</v>
      </c>
      <c r="F71" s="16" t="s">
        <v>11</v>
      </c>
      <c r="G71" s="23">
        <v>1369.0</v>
      </c>
      <c r="H71" s="18"/>
      <c r="I71" s="3"/>
      <c r="J71" s="75">
        <f t="shared" si="3"/>
        <v>46073</v>
      </c>
      <c r="K71" s="71">
        <f>SUMIF(E5:E127,J71,G5:G127)</f>
        <v>3778</v>
      </c>
      <c r="L71" s="76">
        <f t="shared" si="4"/>
        <v>256448</v>
      </c>
      <c r="M71" s="72">
        <f>M45*27</f>
        <v>261343.4516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46064.0</v>
      </c>
      <c r="F72" s="16" t="s">
        <v>16</v>
      </c>
      <c r="G72" s="23">
        <v>1390.0</v>
      </c>
      <c r="H72" s="18"/>
      <c r="I72" s="3"/>
      <c r="J72" s="75">
        <f t="shared" si="3"/>
        <v>46074</v>
      </c>
      <c r="K72" s="71">
        <f>SUMIF(E5:E127,J72,G5:G127)</f>
        <v>10194</v>
      </c>
      <c r="L72" s="76">
        <f t="shared" si="4"/>
        <v>266642</v>
      </c>
      <c r="M72" s="72">
        <f>M45*28</f>
        <v>271022.8387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46064.0</v>
      </c>
      <c r="F73" s="16" t="s">
        <v>11</v>
      </c>
      <c r="G73" s="23">
        <v>2992.0</v>
      </c>
      <c r="H73" s="18"/>
      <c r="I73" s="3"/>
      <c r="J73" s="75">
        <f t="shared" si="3"/>
        <v>46075</v>
      </c>
      <c r="K73" s="71">
        <f>SUMIF(E5:E127,J73,G5:G127)</f>
        <v>1376</v>
      </c>
      <c r="L73" s="76">
        <f t="shared" si="4"/>
        <v>268018</v>
      </c>
      <c r="M73" s="72">
        <f>M45*29</f>
        <v>280702.2258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46065.0</v>
      </c>
      <c r="F74" s="16" t="s">
        <v>11</v>
      </c>
      <c r="G74" s="23">
        <v>2712.0</v>
      </c>
      <c r="H74" s="18"/>
      <c r="I74" s="3"/>
      <c r="J74" s="75">
        <f t="shared" si="3"/>
        <v>46076</v>
      </c>
      <c r="K74" s="71">
        <f>SUMIF(E5:E127,J74,G5:G127)</f>
        <v>14540</v>
      </c>
      <c r="L74" s="76">
        <f t="shared" si="4"/>
        <v>282558</v>
      </c>
      <c r="M74" s="72">
        <f>M45*30</f>
        <v>290381.6129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46066.0</v>
      </c>
      <c r="F75" s="16" t="s">
        <v>13</v>
      </c>
      <c r="G75" s="23">
        <v>334.0</v>
      </c>
      <c r="H75" s="18"/>
      <c r="I75" s="3"/>
      <c r="J75" s="75">
        <f t="shared" si="3"/>
        <v>46077</v>
      </c>
      <c r="K75" s="71">
        <f>SUMIF(E5:E127,J75,G5:G127)</f>
        <v>4953</v>
      </c>
      <c r="L75" s="76">
        <f t="shared" si="4"/>
        <v>287511</v>
      </c>
      <c r="M75" s="72">
        <f>M45*31</f>
        <v>300061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46066.0</v>
      </c>
      <c r="F76" s="16" t="s">
        <v>11</v>
      </c>
      <c r="G76" s="23">
        <v>16400.0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46066.0</v>
      </c>
      <c r="F77" s="16" t="s">
        <v>17</v>
      </c>
      <c r="G77" s="23">
        <v>1000.0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46067.0</v>
      </c>
      <c r="F78" s="16" t="s">
        <v>17</v>
      </c>
      <c r="G78" s="23">
        <v>6000.0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46067.0</v>
      </c>
      <c r="F79" s="16" t="s">
        <v>13</v>
      </c>
      <c r="G79" s="23">
        <v>931.0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46067.0</v>
      </c>
      <c r="F80" s="16" t="s">
        <v>13</v>
      </c>
      <c r="G80" s="23">
        <v>180.0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46067.0</v>
      </c>
      <c r="F81" s="16" t="s">
        <v>14</v>
      </c>
      <c r="G81" s="23">
        <v>3346.0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46067.0</v>
      </c>
      <c r="F82" s="16" t="s">
        <v>13</v>
      </c>
      <c r="G82" s="23">
        <v>2580.0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46068.0</v>
      </c>
      <c r="F83" s="16" t="s">
        <v>9</v>
      </c>
      <c r="G83" s="23">
        <v>2160.0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46068.0</v>
      </c>
      <c r="F84" s="16" t="s">
        <v>11</v>
      </c>
      <c r="G84" s="23">
        <v>1790.0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46068.0</v>
      </c>
      <c r="F85" s="16" t="s">
        <v>9</v>
      </c>
      <c r="G85" s="23">
        <v>900.0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46068.0</v>
      </c>
      <c r="F86" s="16" t="s">
        <v>11</v>
      </c>
      <c r="G86" s="23">
        <v>3100.0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46068.0</v>
      </c>
      <c r="F87" s="16" t="s">
        <v>14</v>
      </c>
      <c r="G87" s="23">
        <v>1299.0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>
        <v>46069.0</v>
      </c>
      <c r="F88" s="16" t="s">
        <v>14</v>
      </c>
      <c r="G88" s="23">
        <v>590.0</v>
      </c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>
        <v>46068.0</v>
      </c>
      <c r="F89" s="16" t="s">
        <v>9</v>
      </c>
      <c r="G89" s="23">
        <v>3698.0</v>
      </c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>
        <v>46069.0</v>
      </c>
      <c r="F90" s="16" t="s">
        <v>16</v>
      </c>
      <c r="G90" s="23">
        <v>6017.0</v>
      </c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>
        <v>46070.0</v>
      </c>
      <c r="F91" s="16" t="s">
        <v>11</v>
      </c>
      <c r="G91" s="23">
        <v>4048.0</v>
      </c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>
        <v>46071.0</v>
      </c>
      <c r="F92" s="16" t="s">
        <v>11</v>
      </c>
      <c r="G92" s="23">
        <v>1250.0</v>
      </c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>
        <v>46071.0</v>
      </c>
      <c r="F93" s="16" t="s">
        <v>28</v>
      </c>
      <c r="G93" s="23">
        <v>4100.0</v>
      </c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>
        <v>46071.0</v>
      </c>
      <c r="F94" s="16" t="s">
        <v>16</v>
      </c>
      <c r="G94" s="23">
        <v>1988.0</v>
      </c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>
        <v>46072.0</v>
      </c>
      <c r="F95" s="16" t="s">
        <v>14</v>
      </c>
      <c r="G95" s="23">
        <v>3060.0</v>
      </c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>
        <v>46072.0</v>
      </c>
      <c r="F96" s="16" t="s">
        <v>14</v>
      </c>
      <c r="G96" s="23">
        <v>1120.0</v>
      </c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>
        <v>46072.0</v>
      </c>
      <c r="F97" s="16" t="s">
        <v>11</v>
      </c>
      <c r="G97" s="23">
        <v>3487.0</v>
      </c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>
        <v>46073.0</v>
      </c>
      <c r="F98" s="16" t="s">
        <v>11</v>
      </c>
      <c r="G98" s="23">
        <v>2900.0</v>
      </c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>
        <v>46073.0</v>
      </c>
      <c r="F99" s="16" t="s">
        <v>13</v>
      </c>
      <c r="G99" s="23">
        <v>878.0</v>
      </c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>
        <v>46074.0</v>
      </c>
      <c r="F100" s="16" t="s">
        <v>13</v>
      </c>
      <c r="G100" s="23">
        <v>250.0</v>
      </c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>
        <v>46074.0</v>
      </c>
      <c r="F101" s="16" t="s">
        <v>11</v>
      </c>
      <c r="G101" s="23">
        <v>1650.0</v>
      </c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>
        <v>46074.0</v>
      </c>
      <c r="F102" s="16" t="s">
        <v>9</v>
      </c>
      <c r="G102" s="23">
        <v>5990.0</v>
      </c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>
        <v>46074.0</v>
      </c>
      <c r="F103" s="16" t="s">
        <v>16</v>
      </c>
      <c r="G103" s="23">
        <v>2304.0</v>
      </c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>
        <v>46075.0</v>
      </c>
      <c r="F104" s="16" t="s">
        <v>13</v>
      </c>
      <c r="G104" s="23">
        <v>376.0</v>
      </c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>
        <v>46075.0</v>
      </c>
      <c r="F105" s="16" t="s">
        <v>11</v>
      </c>
      <c r="G105" s="23">
        <v>1000.0</v>
      </c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>
        <v>46076.0</v>
      </c>
      <c r="F106" s="16" t="s">
        <v>17</v>
      </c>
      <c r="G106" s="23">
        <v>2000.0</v>
      </c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>
        <v>46076.0</v>
      </c>
      <c r="F107" s="16" t="s">
        <v>11</v>
      </c>
      <c r="G107" s="23">
        <v>610.0</v>
      </c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>
        <v>46076.0</v>
      </c>
      <c r="F108" s="16" t="s">
        <v>9</v>
      </c>
      <c r="G108" s="23">
        <v>11930.0</v>
      </c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>
        <v>46077.0</v>
      </c>
      <c r="F109" s="16" t="s">
        <v>11</v>
      </c>
      <c r="G109" s="23">
        <v>2110.0</v>
      </c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>
        <v>46077.0</v>
      </c>
      <c r="F110" s="16" t="s">
        <v>16</v>
      </c>
      <c r="G110" s="23">
        <v>2843.0</v>
      </c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78"/>
      <c r="F111" s="79"/>
      <c r="G111" s="18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78"/>
      <c r="F112" s="79"/>
      <c r="G112" s="18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78"/>
      <c r="F113" s="79"/>
      <c r="G113" s="18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78"/>
      <c r="F114" s="79"/>
      <c r="G114" s="18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78"/>
      <c r="F115" s="79"/>
      <c r="G115" s="18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78"/>
      <c r="F116" s="79"/>
      <c r="G116" s="18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18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79"/>
      <c r="G125" s="18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79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79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287511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E5:E127">
      <formula1>'26Feb'!$J$45:$J$75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46082.0</v>
      </c>
      <c r="D1" s="3"/>
      <c r="E1" s="4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749241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749241.0</v>
      </c>
      <c r="D5" s="3"/>
      <c r="E5" s="15">
        <v>46078.0</v>
      </c>
      <c r="F5" s="16" t="s">
        <v>11</v>
      </c>
      <c r="G5" s="17">
        <v>1280.0</v>
      </c>
      <c r="H5" s="18"/>
      <c r="I5" s="3"/>
      <c r="J5" s="19" t="s">
        <v>10</v>
      </c>
      <c r="K5" s="20">
        <f>G128+C40</f>
        <v>418402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46079.0</v>
      </c>
      <c r="F6" s="16" t="s">
        <v>13</v>
      </c>
      <c r="G6" s="23">
        <v>635.0</v>
      </c>
      <c r="H6" s="18"/>
      <c r="I6" s="3"/>
      <c r="J6" s="24" t="s">
        <v>12</v>
      </c>
      <c r="K6" s="25">
        <f>K4-K5</f>
        <v>330839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46079.0</v>
      </c>
      <c r="F7" s="16" t="s">
        <v>16</v>
      </c>
      <c r="G7" s="23">
        <v>1629.0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46080.0</v>
      </c>
      <c r="F8" s="16" t="s">
        <v>11</v>
      </c>
      <c r="G8" s="23">
        <v>1340.0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46080.0</v>
      </c>
      <c r="F9" s="16" t="s">
        <v>16</v>
      </c>
      <c r="G9" s="23">
        <v>6441.0</v>
      </c>
      <c r="H9" s="18"/>
      <c r="I9" s="3"/>
      <c r="J9" s="28" t="s">
        <v>18</v>
      </c>
      <c r="K9" s="29">
        <f>EDATE(B1,-1) + 24</f>
        <v>46078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46080.0</v>
      </c>
      <c r="F10" s="16" t="s">
        <v>16</v>
      </c>
      <c r="G10" s="23">
        <v>4827.0</v>
      </c>
      <c r="H10" s="23"/>
      <c r="I10" s="3"/>
      <c r="J10" s="28" t="s">
        <v>19</v>
      </c>
      <c r="K10" s="31">
        <f>EDATE(B1,0) + 23</f>
        <v>46105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46081.0</v>
      </c>
      <c r="F11" s="16" t="s">
        <v>11</v>
      </c>
      <c r="G11" s="23">
        <v>1320.0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46082.0</v>
      </c>
      <c r="F12" s="16" t="s">
        <v>9</v>
      </c>
      <c r="G12" s="23">
        <v>1619.0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46082.0</v>
      </c>
      <c r="F13" s="16" t="s">
        <v>16</v>
      </c>
      <c r="G13" s="23">
        <v>2560.0</v>
      </c>
      <c r="H13" s="18"/>
      <c r="I13" s="3"/>
      <c r="J13" s="33" t="s">
        <v>22</v>
      </c>
      <c r="K13" s="34">
        <v>300000.0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749241</v>
      </c>
      <c r="D14" s="3"/>
      <c r="E14" s="15">
        <v>46083.0</v>
      </c>
      <c r="F14" s="16" t="s">
        <v>28</v>
      </c>
      <c r="G14" s="23">
        <v>3490.0</v>
      </c>
      <c r="H14" s="18"/>
      <c r="I14" s="3"/>
      <c r="J14" s="37" t="s">
        <v>24</v>
      </c>
      <c r="K14" s="38">
        <f>K6-K13</f>
        <v>30839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46083.0</v>
      </c>
      <c r="F15" s="16" t="s">
        <v>11</v>
      </c>
      <c r="G15" s="23">
        <v>1340.0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46082.0</v>
      </c>
      <c r="F16" s="16" t="s">
        <v>9</v>
      </c>
      <c r="G16" s="23">
        <v>8215.0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46084.0</v>
      </c>
      <c r="F17" s="16" t="s">
        <v>11</v>
      </c>
      <c r="G17" s="23">
        <v>650.0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46084.0</v>
      </c>
      <c r="F18" s="16" t="s">
        <v>11</v>
      </c>
      <c r="G18" s="23">
        <v>1440.0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46084.0</v>
      </c>
      <c r="F19" s="16" t="s">
        <v>11</v>
      </c>
      <c r="G19" s="23">
        <v>650.0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44">
        <v>450.0</v>
      </c>
      <c r="D20" s="3"/>
      <c r="E20" s="15">
        <v>46085.0</v>
      </c>
      <c r="F20" s="16" t="s">
        <v>14</v>
      </c>
      <c r="G20" s="23">
        <v>2448.0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46085.0</v>
      </c>
      <c r="F21" s="16" t="s">
        <v>11</v>
      </c>
      <c r="G21" s="23">
        <v>1850.0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46085.0</v>
      </c>
      <c r="F22" s="16" t="s">
        <v>13</v>
      </c>
      <c r="G22" s="23">
        <v>524.0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46085.0</v>
      </c>
      <c r="F23" s="16" t="s">
        <v>17</v>
      </c>
      <c r="G23" s="23">
        <v>1000.0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12230.0</v>
      </c>
      <c r="D24" s="3"/>
      <c r="E24" s="15">
        <v>46085.0</v>
      </c>
      <c r="F24" s="16" t="s">
        <v>11</v>
      </c>
      <c r="G24" s="23">
        <v>1330.0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46086.0</v>
      </c>
      <c r="F25" s="16" t="s">
        <v>17</v>
      </c>
      <c r="G25" s="53">
        <v>1000.0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46086.0</v>
      </c>
      <c r="F26" s="16" t="s">
        <v>13</v>
      </c>
      <c r="G26" s="23">
        <v>463.0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46086.0</v>
      </c>
      <c r="F27" s="16" t="s">
        <v>11</v>
      </c>
      <c r="G27" s="23">
        <v>850.0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46086.0</v>
      </c>
      <c r="F28" s="16" t="s">
        <v>13</v>
      </c>
      <c r="G28" s="23">
        <v>703.0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46087.0</v>
      </c>
      <c r="F29" s="16" t="s">
        <v>11</v>
      </c>
      <c r="G29" s="23">
        <v>1440.0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46087.0</v>
      </c>
      <c r="F30" s="16" t="s">
        <v>16</v>
      </c>
      <c r="G30" s="23">
        <v>1068.0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46087.0</v>
      </c>
      <c r="F31" s="16" t="s">
        <v>11</v>
      </c>
      <c r="G31" s="23">
        <v>2000.0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46087.0</v>
      </c>
      <c r="F32" s="16" t="s">
        <v>14</v>
      </c>
      <c r="G32" s="23">
        <v>637.0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46087.0</v>
      </c>
      <c r="F33" s="16" t="s">
        <v>41</v>
      </c>
      <c r="G33" s="23">
        <v>8250.0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46088.0</v>
      </c>
      <c r="F34" s="16" t="s">
        <v>11</v>
      </c>
      <c r="G34" s="23">
        <v>1910.0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46089.0</v>
      </c>
      <c r="F35" s="16" t="s">
        <v>11</v>
      </c>
      <c r="G35" s="23">
        <v>1340.0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46089.0</v>
      </c>
      <c r="F36" s="16" t="s">
        <v>16</v>
      </c>
      <c r="G36" s="23">
        <v>1603.0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46090.0</v>
      </c>
      <c r="F37" s="16" t="s">
        <v>16</v>
      </c>
      <c r="G37" s="23">
        <v>3821.0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46090.0</v>
      </c>
      <c r="F38" s="16" t="s">
        <v>14</v>
      </c>
      <c r="G38" s="23">
        <v>4130.0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46090.0</v>
      </c>
      <c r="F39" s="16" t="s">
        <v>28</v>
      </c>
      <c r="G39" s="23">
        <v>7180.0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161857</v>
      </c>
      <c r="D40" s="3"/>
      <c r="E40" s="15">
        <v>46089.0</v>
      </c>
      <c r="F40" s="16" t="s">
        <v>28</v>
      </c>
      <c r="G40" s="23">
        <v>34000.0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46091.0</v>
      </c>
      <c r="F41" s="16" t="s">
        <v>14</v>
      </c>
      <c r="G41" s="23">
        <v>2240.0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46091.0</v>
      </c>
      <c r="F42" s="16" t="s">
        <v>11</v>
      </c>
      <c r="G42" s="23">
        <v>1120.0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46092.0</v>
      </c>
      <c r="F43" s="16" t="s">
        <v>11</v>
      </c>
      <c r="G43" s="23">
        <v>1903.0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46092.0</v>
      </c>
      <c r="F44" s="16" t="s">
        <v>11</v>
      </c>
      <c r="G44" s="23">
        <v>2650.0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46092.0</v>
      </c>
      <c r="F45" s="16" t="s">
        <v>17</v>
      </c>
      <c r="G45" s="23">
        <v>1000.0</v>
      </c>
      <c r="H45" s="18"/>
      <c r="I45" s="3"/>
      <c r="J45" s="69">
        <f>EDATE(B1,-1) + 24 + 0</f>
        <v>46078</v>
      </c>
      <c r="K45" s="70">
        <f>SUMIF(E5:E127,J45,G5:G127)</f>
        <v>1280</v>
      </c>
      <c r="L45" s="71">
        <f>K45</f>
        <v>1280</v>
      </c>
      <c r="M45" s="72">
        <f>(K4-C40-K13)/(K10-K9+1)</f>
        <v>10263.71429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46093.0</v>
      </c>
      <c r="F46" s="16" t="s">
        <v>11</v>
      </c>
      <c r="G46" s="23">
        <v>1340.0</v>
      </c>
      <c r="H46" s="18"/>
      <c r="I46" s="3"/>
      <c r="J46" s="75">
        <f t="shared" ref="J46:J75" si="3">J45 + 1</f>
        <v>46079</v>
      </c>
      <c r="K46" s="71">
        <f>SUMIF(E5:E127,J46,G5:G127)</f>
        <v>2264</v>
      </c>
      <c r="L46" s="76">
        <f t="shared" ref="L46:L75" si="4">SUM(L45,K46)</f>
        <v>3544</v>
      </c>
      <c r="M46" s="72">
        <f>M45*2</f>
        <v>20527.42857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46093.0</v>
      </c>
      <c r="F47" s="16" t="s">
        <v>13</v>
      </c>
      <c r="G47" s="23">
        <v>719.0</v>
      </c>
      <c r="H47" s="18"/>
      <c r="I47" s="3"/>
      <c r="J47" s="75">
        <f t="shared" si="3"/>
        <v>46080</v>
      </c>
      <c r="K47" s="71">
        <f>SUMIF(E5:E127,J47,G5:G127)</f>
        <v>12608</v>
      </c>
      <c r="L47" s="76">
        <f t="shared" si="4"/>
        <v>16152</v>
      </c>
      <c r="M47" s="72">
        <f>M45*3</f>
        <v>30791.14286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46094.0</v>
      </c>
      <c r="F48" s="16" t="s">
        <v>41</v>
      </c>
      <c r="G48" s="23">
        <v>29700.0</v>
      </c>
      <c r="H48" s="18"/>
      <c r="I48" s="3"/>
      <c r="J48" s="75">
        <f t="shared" si="3"/>
        <v>46081</v>
      </c>
      <c r="K48" s="71">
        <f>SUMIF(E5:E127,J48,G5:G127)</f>
        <v>1320</v>
      </c>
      <c r="L48" s="76">
        <f t="shared" si="4"/>
        <v>17472</v>
      </c>
      <c r="M48" s="72">
        <f>M45*4</f>
        <v>41054.85714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46094.0</v>
      </c>
      <c r="F49" s="16" t="s">
        <v>11</v>
      </c>
      <c r="G49" s="23">
        <v>3938.0</v>
      </c>
      <c r="H49" s="18"/>
      <c r="I49" s="3"/>
      <c r="J49" s="75">
        <f t="shared" si="3"/>
        <v>46082</v>
      </c>
      <c r="K49" s="71">
        <f>SUMIF(E5:E127,J49,G5:G127)</f>
        <v>12394</v>
      </c>
      <c r="L49" s="76">
        <f t="shared" si="4"/>
        <v>29866</v>
      </c>
      <c r="M49" s="72">
        <f>M45*5</f>
        <v>51318.57143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46095.0</v>
      </c>
      <c r="F50" s="16" t="s">
        <v>11</v>
      </c>
      <c r="G50" s="23">
        <v>1520.0</v>
      </c>
      <c r="H50" s="18"/>
      <c r="I50" s="3"/>
      <c r="J50" s="75">
        <f t="shared" si="3"/>
        <v>46083</v>
      </c>
      <c r="K50" s="71">
        <f>SUMIF(E5:E127,J50,G5:G127)</f>
        <v>4830</v>
      </c>
      <c r="L50" s="76">
        <f t="shared" si="4"/>
        <v>34696</v>
      </c>
      <c r="M50" s="72">
        <f>M45*6</f>
        <v>61582.28571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46095.0</v>
      </c>
      <c r="F51" s="16" t="s">
        <v>40</v>
      </c>
      <c r="G51" s="23">
        <v>2668.0</v>
      </c>
      <c r="H51" s="18"/>
      <c r="I51" s="3"/>
      <c r="J51" s="75">
        <f t="shared" si="3"/>
        <v>46084</v>
      </c>
      <c r="K51" s="71">
        <f>SUMIF(E5:E127,J51,G5:G127)</f>
        <v>2740</v>
      </c>
      <c r="L51" s="76">
        <f t="shared" si="4"/>
        <v>37436</v>
      </c>
      <c r="M51" s="72">
        <f>M45*7</f>
        <v>71846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46095.0</v>
      </c>
      <c r="F52" s="16" t="s">
        <v>13</v>
      </c>
      <c r="G52" s="23">
        <v>220.0</v>
      </c>
      <c r="H52" s="23"/>
      <c r="I52" s="3"/>
      <c r="J52" s="75">
        <f t="shared" si="3"/>
        <v>46085</v>
      </c>
      <c r="K52" s="71">
        <f>SUMIF(E5:E127,J52,G5:G127)</f>
        <v>7152</v>
      </c>
      <c r="L52" s="76">
        <f t="shared" si="4"/>
        <v>44588</v>
      </c>
      <c r="M52" s="72">
        <f>M45*8</f>
        <v>82109.71429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46095.0</v>
      </c>
      <c r="F53" s="16" t="s">
        <v>17</v>
      </c>
      <c r="G53" s="23">
        <v>1000.0</v>
      </c>
      <c r="H53" s="18"/>
      <c r="I53" s="3"/>
      <c r="J53" s="75">
        <f t="shared" si="3"/>
        <v>46086</v>
      </c>
      <c r="K53" s="71">
        <f>SUMIF(E5:E127,J53,G5:G127)</f>
        <v>3016</v>
      </c>
      <c r="L53" s="76">
        <f t="shared" si="4"/>
        <v>47604</v>
      </c>
      <c r="M53" s="72">
        <f>M45*9</f>
        <v>92373.42857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46096.0</v>
      </c>
      <c r="F54" s="16" t="s">
        <v>17</v>
      </c>
      <c r="G54" s="23">
        <v>3000.0</v>
      </c>
      <c r="H54" s="18"/>
      <c r="I54" s="3"/>
      <c r="J54" s="75">
        <f t="shared" si="3"/>
        <v>46087</v>
      </c>
      <c r="K54" s="71">
        <f>SUMIF(E5:E127,J54,G5:G127)</f>
        <v>13395</v>
      </c>
      <c r="L54" s="76">
        <f t="shared" si="4"/>
        <v>60999</v>
      </c>
      <c r="M54" s="72">
        <f>M45*10</f>
        <v>102637.1429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46096.0</v>
      </c>
      <c r="F55" s="16" t="s">
        <v>11</v>
      </c>
      <c r="G55" s="23">
        <v>2530.0</v>
      </c>
      <c r="H55" s="18"/>
      <c r="I55" s="3"/>
      <c r="J55" s="75">
        <f t="shared" si="3"/>
        <v>46088</v>
      </c>
      <c r="K55" s="71">
        <f>SUMIF(E5:E127,J55,G5:G127)</f>
        <v>1910</v>
      </c>
      <c r="L55" s="76">
        <f t="shared" si="4"/>
        <v>62909</v>
      </c>
      <c r="M55" s="72">
        <f>M45*11</f>
        <v>112900.8571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46096.0</v>
      </c>
      <c r="F56" s="16" t="s">
        <v>13</v>
      </c>
      <c r="G56" s="23">
        <v>740.0</v>
      </c>
      <c r="H56" s="18"/>
      <c r="I56" s="3"/>
      <c r="J56" s="75">
        <f t="shared" si="3"/>
        <v>46089</v>
      </c>
      <c r="K56" s="71">
        <f>SUMIF(E5:E127,J56,G5:G127)</f>
        <v>36943</v>
      </c>
      <c r="L56" s="76">
        <f t="shared" si="4"/>
        <v>99852</v>
      </c>
      <c r="M56" s="72">
        <f>M45*12</f>
        <v>123164.5714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46097.0</v>
      </c>
      <c r="F57" s="16" t="s">
        <v>16</v>
      </c>
      <c r="G57" s="23">
        <v>4284.0</v>
      </c>
      <c r="H57" s="18"/>
      <c r="I57" s="3"/>
      <c r="J57" s="75">
        <f t="shared" si="3"/>
        <v>46090</v>
      </c>
      <c r="K57" s="71">
        <f>SUMIF(E5:E127,J57,G5:G127)</f>
        <v>15131</v>
      </c>
      <c r="L57" s="76">
        <f t="shared" si="4"/>
        <v>114983</v>
      </c>
      <c r="M57" s="72">
        <f>M45*13</f>
        <v>133428.2857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46097.0</v>
      </c>
      <c r="F58" s="16" t="s">
        <v>9</v>
      </c>
      <c r="G58" s="23">
        <v>5000.0</v>
      </c>
      <c r="H58" s="18"/>
      <c r="I58" s="3"/>
      <c r="J58" s="75">
        <f t="shared" si="3"/>
        <v>46091</v>
      </c>
      <c r="K58" s="71">
        <f>SUMIF(E5:E127,J58,G5:G127)</f>
        <v>3360</v>
      </c>
      <c r="L58" s="76">
        <f t="shared" si="4"/>
        <v>118343</v>
      </c>
      <c r="M58" s="72">
        <f>M45*14</f>
        <v>143692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46098.0</v>
      </c>
      <c r="F59" s="16" t="s">
        <v>13</v>
      </c>
      <c r="G59" s="23">
        <v>494.0</v>
      </c>
      <c r="H59" s="18"/>
      <c r="I59" s="3"/>
      <c r="J59" s="75">
        <f t="shared" si="3"/>
        <v>46092</v>
      </c>
      <c r="K59" s="71">
        <f>SUMIF(E5:E127,J59,G5:G127)</f>
        <v>5553</v>
      </c>
      <c r="L59" s="76">
        <f t="shared" si="4"/>
        <v>123896</v>
      </c>
      <c r="M59" s="72">
        <f>M45*15</f>
        <v>153955.7143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46099.0</v>
      </c>
      <c r="F60" s="16" t="s">
        <v>17</v>
      </c>
      <c r="G60" s="23">
        <v>1000.0</v>
      </c>
      <c r="H60" s="18"/>
      <c r="I60" s="3"/>
      <c r="J60" s="75">
        <f t="shared" si="3"/>
        <v>46093</v>
      </c>
      <c r="K60" s="71">
        <f>SUMIF(E5:E127,J60,G5:G127)</f>
        <v>2059</v>
      </c>
      <c r="L60" s="76">
        <f t="shared" si="4"/>
        <v>125955</v>
      </c>
      <c r="M60" s="72">
        <f>M45*16</f>
        <v>164219.4286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46099.0</v>
      </c>
      <c r="F61" s="16" t="s">
        <v>11</v>
      </c>
      <c r="G61" s="23">
        <v>1850.0</v>
      </c>
      <c r="H61" s="18"/>
      <c r="I61" s="3"/>
      <c r="J61" s="75">
        <f t="shared" si="3"/>
        <v>46094</v>
      </c>
      <c r="K61" s="71">
        <f>SUMIF(E5:E127,J61,G5:G127)</f>
        <v>33638</v>
      </c>
      <c r="L61" s="76">
        <f t="shared" si="4"/>
        <v>159593</v>
      </c>
      <c r="M61" s="72">
        <f>M45*17</f>
        <v>174483.1429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46099.0</v>
      </c>
      <c r="F62" s="16" t="s">
        <v>11</v>
      </c>
      <c r="G62" s="23">
        <v>1900.0</v>
      </c>
      <c r="H62" s="18"/>
      <c r="I62" s="3"/>
      <c r="J62" s="75">
        <f t="shared" si="3"/>
        <v>46095</v>
      </c>
      <c r="K62" s="71">
        <f>SUMIF(E5:E127,J62,G5:G127)</f>
        <v>5408</v>
      </c>
      <c r="L62" s="76">
        <f t="shared" si="4"/>
        <v>165001</v>
      </c>
      <c r="M62" s="72">
        <f>M45*18</f>
        <v>184746.8571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46100.0</v>
      </c>
      <c r="F63" s="16" t="s">
        <v>13</v>
      </c>
      <c r="G63" s="23">
        <v>298.0</v>
      </c>
      <c r="H63" s="23"/>
      <c r="I63" s="3"/>
      <c r="J63" s="75">
        <f t="shared" si="3"/>
        <v>46096</v>
      </c>
      <c r="K63" s="71">
        <f>SUMIF(E5:E127,J63,G5:G127)</f>
        <v>6270</v>
      </c>
      <c r="L63" s="76">
        <f t="shared" si="4"/>
        <v>171271</v>
      </c>
      <c r="M63" s="72">
        <f>M45*19</f>
        <v>195010.5714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46100.0</v>
      </c>
      <c r="F64" s="16" t="s">
        <v>17</v>
      </c>
      <c r="G64" s="23">
        <v>1000.0</v>
      </c>
      <c r="H64" s="18"/>
      <c r="I64" s="3"/>
      <c r="J64" s="75">
        <f t="shared" si="3"/>
        <v>46097</v>
      </c>
      <c r="K64" s="71">
        <f>SUMIF(E5:E127,J64,G5:G127)</f>
        <v>9284</v>
      </c>
      <c r="L64" s="76">
        <f t="shared" si="4"/>
        <v>180555</v>
      </c>
      <c r="M64" s="72">
        <f>M45*20</f>
        <v>205274.2857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46100.0</v>
      </c>
      <c r="F65" s="16" t="s">
        <v>11</v>
      </c>
      <c r="G65" s="23">
        <v>1660.0</v>
      </c>
      <c r="H65" s="23"/>
      <c r="I65" s="3"/>
      <c r="J65" s="75">
        <f t="shared" si="3"/>
        <v>46098</v>
      </c>
      <c r="K65" s="71">
        <f>SUMIF(E5:E127,J65,G5:G127)</f>
        <v>494</v>
      </c>
      <c r="L65" s="76">
        <f t="shared" si="4"/>
        <v>181049</v>
      </c>
      <c r="M65" s="72">
        <f>M45*21</f>
        <v>215538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46101.0</v>
      </c>
      <c r="F66" s="16" t="s">
        <v>13</v>
      </c>
      <c r="G66" s="23">
        <v>351.0</v>
      </c>
      <c r="H66" s="18"/>
      <c r="I66" s="3"/>
      <c r="J66" s="75">
        <f t="shared" si="3"/>
        <v>46099</v>
      </c>
      <c r="K66" s="71">
        <f>SUMIF(E5:E127,J66,G5:G127)</f>
        <v>4750</v>
      </c>
      <c r="L66" s="76">
        <f t="shared" si="4"/>
        <v>185799</v>
      </c>
      <c r="M66" s="72">
        <f>M45*22</f>
        <v>225801.7143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46101.0</v>
      </c>
      <c r="F67" s="16" t="s">
        <v>11</v>
      </c>
      <c r="G67" s="23">
        <v>440.0</v>
      </c>
      <c r="H67" s="18"/>
      <c r="I67" s="3"/>
      <c r="J67" s="75">
        <f t="shared" si="3"/>
        <v>46100</v>
      </c>
      <c r="K67" s="71">
        <f>SUMIF(E5:E127,J67,G5:G127)</f>
        <v>2958</v>
      </c>
      <c r="L67" s="76">
        <f t="shared" si="4"/>
        <v>188757</v>
      </c>
      <c r="M67" s="72">
        <f>M45*23</f>
        <v>236065.4286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46101.0</v>
      </c>
      <c r="F68" s="16" t="s">
        <v>11</v>
      </c>
      <c r="G68" s="23">
        <v>1900.0</v>
      </c>
      <c r="H68" s="18"/>
      <c r="I68" s="3"/>
      <c r="J68" s="75">
        <f t="shared" si="3"/>
        <v>46101</v>
      </c>
      <c r="K68" s="71">
        <f>SUMIF(E5:E127,J68,G5:G127)</f>
        <v>8411</v>
      </c>
      <c r="L68" s="76">
        <f t="shared" si="4"/>
        <v>197168</v>
      </c>
      <c r="M68" s="72">
        <f>M45*24</f>
        <v>246329.1429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46101.0</v>
      </c>
      <c r="F69" s="16" t="s">
        <v>16</v>
      </c>
      <c r="G69" s="23">
        <v>3000.0</v>
      </c>
      <c r="H69" s="18"/>
      <c r="I69" s="3"/>
      <c r="J69" s="75">
        <f t="shared" si="3"/>
        <v>46102</v>
      </c>
      <c r="K69" s="71">
        <f>SUMIF(E5:E127,J69,G5:G127)</f>
        <v>13069</v>
      </c>
      <c r="L69" s="76">
        <f t="shared" si="4"/>
        <v>210237</v>
      </c>
      <c r="M69" s="72">
        <f>M45*25</f>
        <v>256592.8571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46101.0</v>
      </c>
      <c r="F70" s="16" t="s">
        <v>11</v>
      </c>
      <c r="G70" s="23">
        <v>2720.0</v>
      </c>
      <c r="H70" s="23"/>
      <c r="I70" s="3"/>
      <c r="J70" s="75">
        <f t="shared" si="3"/>
        <v>46103</v>
      </c>
      <c r="K70" s="71">
        <f>SUMIF(E5:E127,J70,G5:G127)</f>
        <v>34978</v>
      </c>
      <c r="L70" s="76">
        <f t="shared" si="4"/>
        <v>245215</v>
      </c>
      <c r="M70" s="72">
        <f>M45*26</f>
        <v>266856.5714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46102.0</v>
      </c>
      <c r="F71" s="16" t="s">
        <v>11</v>
      </c>
      <c r="G71" s="23">
        <v>1200.0</v>
      </c>
      <c r="H71" s="18"/>
      <c r="I71" s="3"/>
      <c r="J71" s="75">
        <f t="shared" si="3"/>
        <v>46104</v>
      </c>
      <c r="K71" s="71">
        <f>SUMIF(E5:E127,J71,G5:G127)</f>
        <v>9250</v>
      </c>
      <c r="L71" s="76">
        <f t="shared" si="4"/>
        <v>254465</v>
      </c>
      <c r="M71" s="72">
        <f>M45*27</f>
        <v>277120.2857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46102.0</v>
      </c>
      <c r="F72" s="16" t="s">
        <v>11</v>
      </c>
      <c r="G72" s="23">
        <v>250.0</v>
      </c>
      <c r="H72" s="18"/>
      <c r="I72" s="3"/>
      <c r="J72" s="75">
        <f t="shared" si="3"/>
        <v>46105</v>
      </c>
      <c r="K72" s="71">
        <f>SUMIF(E5:E127,J72,G5:G127)</f>
        <v>2080</v>
      </c>
      <c r="L72" s="76">
        <f t="shared" si="4"/>
        <v>256545</v>
      </c>
      <c r="M72" s="72">
        <f>M45*28</f>
        <v>287384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46102.0</v>
      </c>
      <c r="F73" s="16" t="s">
        <v>9</v>
      </c>
      <c r="G73" s="23">
        <v>3402.0</v>
      </c>
      <c r="H73" s="18"/>
      <c r="I73" s="3"/>
      <c r="J73" s="75">
        <f t="shared" si="3"/>
        <v>46106</v>
      </c>
      <c r="K73" s="71">
        <f>SUMIF(E5:E127,J73,G5:G127)</f>
        <v>0</v>
      </c>
      <c r="L73" s="76">
        <f t="shared" si="4"/>
        <v>256545</v>
      </c>
      <c r="M73" s="72">
        <f>M45*29</f>
        <v>297647.7143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46102.0</v>
      </c>
      <c r="F74" s="16" t="s">
        <v>17</v>
      </c>
      <c r="G74" s="23">
        <v>1000.0</v>
      </c>
      <c r="H74" s="18"/>
      <c r="I74" s="3"/>
      <c r="J74" s="75">
        <f t="shared" si="3"/>
        <v>46107</v>
      </c>
      <c r="K74" s="71">
        <f>SUMIF(E5:E127,J74,G5:G127)</f>
        <v>0</v>
      </c>
      <c r="L74" s="76">
        <f t="shared" si="4"/>
        <v>256545</v>
      </c>
      <c r="M74" s="72">
        <f>M45*30</f>
        <v>307911.4286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46102.0</v>
      </c>
      <c r="F75" s="16" t="s">
        <v>11</v>
      </c>
      <c r="G75" s="23">
        <v>7217.0</v>
      </c>
      <c r="H75" s="18"/>
      <c r="I75" s="3"/>
      <c r="J75" s="75">
        <f t="shared" si="3"/>
        <v>46108</v>
      </c>
      <c r="K75" s="71">
        <f>SUMIF(E5:E127,J75,G5:G127)</f>
        <v>0</v>
      </c>
      <c r="L75" s="76">
        <f t="shared" si="4"/>
        <v>256545</v>
      </c>
      <c r="M75" s="72">
        <f>M45*31</f>
        <v>318175.1429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46103.0</v>
      </c>
      <c r="F76" s="16" t="s">
        <v>17</v>
      </c>
      <c r="G76" s="23">
        <v>1000.0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46103.0</v>
      </c>
      <c r="F77" s="16" t="s">
        <v>41</v>
      </c>
      <c r="G77" s="23">
        <v>22990.0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46103.0</v>
      </c>
      <c r="F78" s="16" t="s">
        <v>9</v>
      </c>
      <c r="G78" s="23">
        <v>6250.0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46103.0</v>
      </c>
      <c r="F79" s="16" t="s">
        <v>16</v>
      </c>
      <c r="G79" s="23">
        <v>4738.0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46104.0</v>
      </c>
      <c r="F80" s="16" t="s">
        <v>11</v>
      </c>
      <c r="G80" s="23">
        <v>620.0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46104.0</v>
      </c>
      <c r="F81" s="16" t="s">
        <v>14</v>
      </c>
      <c r="G81" s="23">
        <v>1340.0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46104.0</v>
      </c>
      <c r="F82" s="16" t="s">
        <v>11</v>
      </c>
      <c r="G82" s="23">
        <v>1640.0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46104.0</v>
      </c>
      <c r="F83" s="16" t="s">
        <v>14</v>
      </c>
      <c r="G83" s="23">
        <v>5250.0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46104.0</v>
      </c>
      <c r="F84" s="16" t="s">
        <v>17</v>
      </c>
      <c r="G84" s="23">
        <v>400.0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46105.0</v>
      </c>
      <c r="F85" s="16" t="s">
        <v>11</v>
      </c>
      <c r="G85" s="23">
        <v>1340.0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46105.0</v>
      </c>
      <c r="F86" s="16" t="s">
        <v>11</v>
      </c>
      <c r="G86" s="23">
        <v>740.0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/>
      <c r="F87" s="16"/>
      <c r="G87" s="23"/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/>
      <c r="F88" s="16"/>
      <c r="G88" s="23"/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/>
      <c r="F89" s="16"/>
      <c r="G89" s="23"/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/>
      <c r="F90" s="16"/>
      <c r="G90" s="23"/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/>
      <c r="F91" s="16"/>
      <c r="G91" s="23"/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/>
      <c r="F92" s="16"/>
      <c r="G92" s="23"/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/>
      <c r="F93" s="16"/>
      <c r="G93" s="23"/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/>
      <c r="F94" s="16"/>
      <c r="G94" s="23"/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/>
      <c r="F95" s="16"/>
      <c r="G95" s="23"/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/>
      <c r="F96" s="16"/>
      <c r="G96" s="23"/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/>
      <c r="F97" s="16"/>
      <c r="G97" s="23"/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/>
      <c r="F98" s="16"/>
      <c r="G98" s="23"/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/>
      <c r="F99" s="16"/>
      <c r="G99" s="23"/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/>
      <c r="F100" s="16"/>
      <c r="G100" s="23"/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/>
      <c r="F101" s="16"/>
      <c r="G101" s="23"/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/>
      <c r="F102" s="16"/>
      <c r="G102" s="23"/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/>
      <c r="F103" s="16"/>
      <c r="G103" s="23"/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/>
      <c r="F104" s="16"/>
      <c r="G104" s="23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/>
      <c r="F105" s="16"/>
      <c r="G105" s="23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/>
      <c r="F106" s="16"/>
      <c r="G106" s="23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/>
      <c r="F107" s="16"/>
      <c r="G107" s="23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/>
      <c r="F108" s="16"/>
      <c r="G108" s="23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/>
      <c r="F109" s="16"/>
      <c r="G109" s="23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/>
      <c r="F110" s="16"/>
      <c r="G110" s="23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78"/>
      <c r="F111" s="79"/>
      <c r="G111" s="18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78"/>
      <c r="F112" s="79"/>
      <c r="G112" s="18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78"/>
      <c r="F113" s="79"/>
      <c r="G113" s="18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78"/>
      <c r="F114" s="79"/>
      <c r="G114" s="18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78"/>
      <c r="F115" s="79"/>
      <c r="G115" s="18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78"/>
      <c r="F116" s="79"/>
      <c r="G116" s="18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18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79"/>
      <c r="G125" s="18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79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79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256545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E5:E127">
      <formula1>'26Mar'!$J$45:$J$75</formula1>
    </dataValidation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46113.0</v>
      </c>
      <c r="D1" s="3"/>
      <c r="E1" s="4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654770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654770.0</v>
      </c>
      <c r="D5" s="3"/>
      <c r="E5" s="15">
        <v>46106.0</v>
      </c>
      <c r="F5" s="16" t="s">
        <v>9</v>
      </c>
      <c r="G5" s="17">
        <v>5050.0</v>
      </c>
      <c r="H5" s="18"/>
      <c r="I5" s="3"/>
      <c r="J5" s="19" t="s">
        <v>10</v>
      </c>
      <c r="K5" s="20">
        <f>G128+C40</f>
        <v>376204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46106.0</v>
      </c>
      <c r="F6" s="16" t="s">
        <v>17</v>
      </c>
      <c r="G6" s="23">
        <v>1000.0</v>
      </c>
      <c r="H6" s="18"/>
      <c r="I6" s="3"/>
      <c r="J6" s="24" t="s">
        <v>12</v>
      </c>
      <c r="K6" s="25">
        <f>K4-K5</f>
        <v>278566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46107.0</v>
      </c>
      <c r="F7" s="16" t="s">
        <v>17</v>
      </c>
      <c r="G7" s="23">
        <v>1000.0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46107.0</v>
      </c>
      <c r="F8" s="16" t="s">
        <v>11</v>
      </c>
      <c r="G8" s="23">
        <v>6270.0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46108.0</v>
      </c>
      <c r="F9" s="16" t="s">
        <v>13</v>
      </c>
      <c r="G9" s="23">
        <v>915.0</v>
      </c>
      <c r="H9" s="18"/>
      <c r="I9" s="3"/>
      <c r="J9" s="28" t="s">
        <v>18</v>
      </c>
      <c r="K9" s="29">
        <f>EDATE(B1,-1) + 24</f>
        <v>46106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46108.0</v>
      </c>
      <c r="F10" s="16" t="s">
        <v>11</v>
      </c>
      <c r="G10" s="23">
        <v>1440.0</v>
      </c>
      <c r="H10" s="23"/>
      <c r="I10" s="3"/>
      <c r="J10" s="28" t="s">
        <v>19</v>
      </c>
      <c r="K10" s="31">
        <f>EDATE(B1,0) + 23</f>
        <v>46136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46108.0</v>
      </c>
      <c r="F11" s="16" t="s">
        <v>16</v>
      </c>
      <c r="G11" s="23">
        <v>2983.0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46108.0</v>
      </c>
      <c r="F12" s="16" t="s">
        <v>16</v>
      </c>
      <c r="G12" s="23">
        <v>192.0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46109.0</v>
      </c>
      <c r="F13" s="16" t="s">
        <v>13</v>
      </c>
      <c r="G13" s="23">
        <v>427.0</v>
      </c>
      <c r="H13" s="18"/>
      <c r="I13" s="3"/>
      <c r="J13" s="33" t="s">
        <v>22</v>
      </c>
      <c r="K13" s="34">
        <v>300000.0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654770</v>
      </c>
      <c r="D14" s="3"/>
      <c r="E14" s="15">
        <v>46109.0</v>
      </c>
      <c r="F14" s="16" t="s">
        <v>11</v>
      </c>
      <c r="G14" s="23">
        <v>800.0</v>
      </c>
      <c r="H14" s="18"/>
      <c r="I14" s="3"/>
      <c r="J14" s="37" t="s">
        <v>24</v>
      </c>
      <c r="K14" s="38">
        <f>K6-K13</f>
        <v>-21434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46109.0</v>
      </c>
      <c r="F15" s="16" t="s">
        <v>11</v>
      </c>
      <c r="G15" s="23">
        <v>8635.0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46110.0</v>
      </c>
      <c r="F16" s="16" t="s">
        <v>11</v>
      </c>
      <c r="G16" s="23">
        <v>1340.0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46110.0</v>
      </c>
      <c r="F17" s="16" t="s">
        <v>11</v>
      </c>
      <c r="G17" s="23">
        <v>1000.0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46110.0</v>
      </c>
      <c r="F18" s="16" t="s">
        <v>28</v>
      </c>
      <c r="G18" s="23">
        <v>2020.0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46110.0</v>
      </c>
      <c r="F19" s="16" t="s">
        <v>16</v>
      </c>
      <c r="G19" s="23">
        <v>5201.0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44">
        <v>450.0</v>
      </c>
      <c r="D20" s="3"/>
      <c r="E20" s="15">
        <v>46111.0</v>
      </c>
      <c r="F20" s="16" t="s">
        <v>14</v>
      </c>
      <c r="G20" s="23">
        <v>380.0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46113.0</v>
      </c>
      <c r="F21" s="16" t="s">
        <v>11</v>
      </c>
      <c r="G21" s="23">
        <v>900.0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46113.0</v>
      </c>
      <c r="F22" s="16" t="s">
        <v>17</v>
      </c>
      <c r="G22" s="23">
        <v>1000.0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46113.0</v>
      </c>
      <c r="F23" s="16" t="s">
        <v>41</v>
      </c>
      <c r="G23" s="23">
        <v>12210.0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13127.0</v>
      </c>
      <c r="D24" s="3"/>
      <c r="E24" s="15">
        <v>46113.0</v>
      </c>
      <c r="F24" s="16" t="s">
        <v>9</v>
      </c>
      <c r="G24" s="23">
        <v>5198.0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46113.0</v>
      </c>
      <c r="F25" s="16" t="s">
        <v>14</v>
      </c>
      <c r="G25" s="53">
        <v>1668.0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46114.0</v>
      </c>
      <c r="F26" s="16" t="s">
        <v>16</v>
      </c>
      <c r="G26" s="23">
        <v>3285.0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46115.0</v>
      </c>
      <c r="F27" s="16" t="s">
        <v>13</v>
      </c>
      <c r="G27" s="23">
        <v>160.0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46115.0</v>
      </c>
      <c r="F28" s="16" t="s">
        <v>13</v>
      </c>
      <c r="G28" s="23">
        <v>250.0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46115.0</v>
      </c>
      <c r="F29" s="16" t="s">
        <v>11</v>
      </c>
      <c r="G29" s="23">
        <v>1340.0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46115.0</v>
      </c>
      <c r="F30" s="16" t="s">
        <v>13</v>
      </c>
      <c r="G30" s="23">
        <v>410.0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46115.0</v>
      </c>
      <c r="F31" s="16" t="s">
        <v>9</v>
      </c>
      <c r="G31" s="23">
        <v>2400.0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46115.0</v>
      </c>
      <c r="F32" s="16" t="s">
        <v>11</v>
      </c>
      <c r="G32" s="23">
        <v>660.0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46116.0</v>
      </c>
      <c r="F33" s="16" t="s">
        <v>11</v>
      </c>
      <c r="G33" s="23">
        <v>600.0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46116.0</v>
      </c>
      <c r="F34" s="16" t="s">
        <v>13</v>
      </c>
      <c r="G34" s="23">
        <v>510.0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46116.0</v>
      </c>
      <c r="F35" s="16" t="s">
        <v>13</v>
      </c>
      <c r="G35" s="23">
        <v>312.0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46116.0</v>
      </c>
      <c r="F36" s="16" t="s">
        <v>9</v>
      </c>
      <c r="G36" s="23">
        <v>1250.0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46116.0</v>
      </c>
      <c r="F37" s="16" t="s">
        <v>14</v>
      </c>
      <c r="G37" s="23">
        <v>1881.0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46117.0</v>
      </c>
      <c r="F38" s="16" t="s">
        <v>13</v>
      </c>
      <c r="G38" s="23">
        <v>340.0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46117.0</v>
      </c>
      <c r="F39" s="16" t="s">
        <v>17</v>
      </c>
      <c r="G39" s="23">
        <v>1000.0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162754</v>
      </c>
      <c r="D40" s="3"/>
      <c r="E40" s="15">
        <v>46118.0</v>
      </c>
      <c r="F40" s="16" t="s">
        <v>16</v>
      </c>
      <c r="G40" s="23">
        <v>1628.0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46118.0</v>
      </c>
      <c r="F41" s="16" t="s">
        <v>14</v>
      </c>
      <c r="G41" s="23">
        <v>1170.0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46118.0</v>
      </c>
      <c r="F42" s="16" t="s">
        <v>11</v>
      </c>
      <c r="G42" s="23">
        <v>430.0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46118.0</v>
      </c>
      <c r="F43" s="16" t="s">
        <v>14</v>
      </c>
      <c r="G43" s="23">
        <v>3060.0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46118.0</v>
      </c>
      <c r="F44" s="16" t="s">
        <v>14</v>
      </c>
      <c r="G44" s="23">
        <v>1090.0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46118.0</v>
      </c>
      <c r="F45" s="16" t="s">
        <v>17</v>
      </c>
      <c r="G45" s="23">
        <v>1000.0</v>
      </c>
      <c r="H45" s="18"/>
      <c r="I45" s="3"/>
      <c r="J45" s="69">
        <f>EDATE(B1,-1) + 24 + 0</f>
        <v>46106</v>
      </c>
      <c r="K45" s="70">
        <f>SUMIF(E5:E127,J45,G5:G127)</f>
        <v>6050</v>
      </c>
      <c r="L45" s="71">
        <f>K45</f>
        <v>6050</v>
      </c>
      <c r="M45" s="72">
        <f>(K4-C40-K13)/(K10-K9+1)</f>
        <v>6194.064516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46118.0</v>
      </c>
      <c r="F46" s="16" t="s">
        <v>11</v>
      </c>
      <c r="G46" s="23">
        <v>1120.0</v>
      </c>
      <c r="H46" s="18"/>
      <c r="I46" s="3"/>
      <c r="J46" s="75">
        <f t="shared" ref="J46:J75" si="3">J45 + 1</f>
        <v>46107</v>
      </c>
      <c r="K46" s="71">
        <f>SUMIF(E5:E127,J46,G5:G127)</f>
        <v>7270</v>
      </c>
      <c r="L46" s="76">
        <f t="shared" ref="L46:L75" si="4">SUM(L45,K46)</f>
        <v>13320</v>
      </c>
      <c r="M46" s="72">
        <f>M45*2</f>
        <v>12388.12903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46118.0</v>
      </c>
      <c r="F47" s="16" t="s">
        <v>14</v>
      </c>
      <c r="G47" s="23">
        <v>1690.0</v>
      </c>
      <c r="H47" s="18"/>
      <c r="I47" s="3"/>
      <c r="J47" s="75">
        <f t="shared" si="3"/>
        <v>46108</v>
      </c>
      <c r="K47" s="71">
        <f>SUMIF(E5:E127,J47,G5:G127)</f>
        <v>5530</v>
      </c>
      <c r="L47" s="76">
        <f t="shared" si="4"/>
        <v>18850</v>
      </c>
      <c r="M47" s="72">
        <f>M45*3</f>
        <v>18582.19355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46119.0</v>
      </c>
      <c r="F48" s="16" t="s">
        <v>16</v>
      </c>
      <c r="G48" s="23">
        <v>5024.0</v>
      </c>
      <c r="H48" s="18"/>
      <c r="I48" s="3"/>
      <c r="J48" s="75">
        <f t="shared" si="3"/>
        <v>46109</v>
      </c>
      <c r="K48" s="71">
        <f>SUMIF(E5:E127,J48,G5:G127)</f>
        <v>9862</v>
      </c>
      <c r="L48" s="76">
        <f t="shared" si="4"/>
        <v>28712</v>
      </c>
      <c r="M48" s="72">
        <f>M45*4</f>
        <v>24776.25806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46119.0</v>
      </c>
      <c r="F49" s="16" t="s">
        <v>17</v>
      </c>
      <c r="G49" s="23">
        <v>1000.0</v>
      </c>
      <c r="H49" s="18"/>
      <c r="I49" s="3"/>
      <c r="J49" s="75">
        <f t="shared" si="3"/>
        <v>46110</v>
      </c>
      <c r="K49" s="71">
        <f>SUMIF(E5:E127,J49,G5:G127)</f>
        <v>9561</v>
      </c>
      <c r="L49" s="76">
        <f t="shared" si="4"/>
        <v>38273</v>
      </c>
      <c r="M49" s="72">
        <f>M45*5</f>
        <v>30970.32258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46119.0</v>
      </c>
      <c r="F50" s="16" t="s">
        <v>13</v>
      </c>
      <c r="G50" s="23">
        <v>138.0</v>
      </c>
      <c r="H50" s="18"/>
      <c r="I50" s="3"/>
      <c r="J50" s="75">
        <f t="shared" si="3"/>
        <v>46111</v>
      </c>
      <c r="K50" s="71">
        <f>SUMIF(E5:E127,J50,G5:G127)</f>
        <v>380</v>
      </c>
      <c r="L50" s="76">
        <f t="shared" si="4"/>
        <v>38653</v>
      </c>
      <c r="M50" s="72">
        <f>M45*6</f>
        <v>37164.3871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46119.0</v>
      </c>
      <c r="F51" s="16" t="s">
        <v>41</v>
      </c>
      <c r="G51" s="23">
        <v>1191.0</v>
      </c>
      <c r="H51" s="18"/>
      <c r="I51" s="3"/>
      <c r="J51" s="75">
        <f t="shared" si="3"/>
        <v>46112</v>
      </c>
      <c r="K51" s="71">
        <f>SUMIF(E5:E127,J51,G5:G127)</f>
        <v>0</v>
      </c>
      <c r="L51" s="76">
        <f t="shared" si="4"/>
        <v>38653</v>
      </c>
      <c r="M51" s="72">
        <f>M45*7</f>
        <v>43358.45161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46120.0</v>
      </c>
      <c r="F52" s="16" t="s">
        <v>17</v>
      </c>
      <c r="G52" s="23">
        <v>1000.0</v>
      </c>
      <c r="H52" s="23"/>
      <c r="I52" s="3"/>
      <c r="J52" s="75">
        <f t="shared" si="3"/>
        <v>46113</v>
      </c>
      <c r="K52" s="71">
        <f>SUMIF(E5:E127,J52,G5:G127)</f>
        <v>20976</v>
      </c>
      <c r="L52" s="76">
        <f t="shared" si="4"/>
        <v>59629</v>
      </c>
      <c r="M52" s="72">
        <f>M45*8</f>
        <v>49552.51613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46120.0</v>
      </c>
      <c r="F53" s="16" t="s">
        <v>9</v>
      </c>
      <c r="G53" s="23">
        <v>4895.0</v>
      </c>
      <c r="H53" s="18"/>
      <c r="I53" s="3"/>
      <c r="J53" s="75">
        <f t="shared" si="3"/>
        <v>46114</v>
      </c>
      <c r="K53" s="71">
        <f>SUMIF(E5:E127,J53,G5:G127)</f>
        <v>3285</v>
      </c>
      <c r="L53" s="76">
        <f t="shared" si="4"/>
        <v>62914</v>
      </c>
      <c r="M53" s="72">
        <f>M45*9</f>
        <v>55746.58065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46120.0</v>
      </c>
      <c r="F54" s="16" t="s">
        <v>17</v>
      </c>
      <c r="G54" s="23">
        <v>1000.0</v>
      </c>
      <c r="H54" s="18"/>
      <c r="I54" s="3"/>
      <c r="J54" s="75">
        <f t="shared" si="3"/>
        <v>46115</v>
      </c>
      <c r="K54" s="71">
        <f>SUMIF(E5:E127,J54,G5:G127)</f>
        <v>5220</v>
      </c>
      <c r="L54" s="76">
        <f t="shared" si="4"/>
        <v>68134</v>
      </c>
      <c r="M54" s="72">
        <f>M45*10</f>
        <v>61940.64516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46121.0</v>
      </c>
      <c r="F55" s="16" t="s">
        <v>13</v>
      </c>
      <c r="G55" s="23">
        <v>579.0</v>
      </c>
      <c r="H55" s="18"/>
      <c r="I55" s="3"/>
      <c r="J55" s="75">
        <f t="shared" si="3"/>
        <v>46116</v>
      </c>
      <c r="K55" s="71">
        <f>SUMIF(E5:E127,J55,G5:G127)</f>
        <v>4553</v>
      </c>
      <c r="L55" s="76">
        <f t="shared" si="4"/>
        <v>72687</v>
      </c>
      <c r="M55" s="72">
        <f>M45*11</f>
        <v>68134.70968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46121.0</v>
      </c>
      <c r="F56" s="16" t="s">
        <v>17</v>
      </c>
      <c r="G56" s="23">
        <v>1000.0</v>
      </c>
      <c r="H56" s="18"/>
      <c r="I56" s="3"/>
      <c r="J56" s="75">
        <f t="shared" si="3"/>
        <v>46117</v>
      </c>
      <c r="K56" s="71">
        <f>SUMIF(E5:E127,J56,G5:G127)</f>
        <v>1340</v>
      </c>
      <c r="L56" s="76">
        <f t="shared" si="4"/>
        <v>74027</v>
      </c>
      <c r="M56" s="72">
        <f>M45*12</f>
        <v>74328.77419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46121.0</v>
      </c>
      <c r="F57" s="16" t="s">
        <v>9</v>
      </c>
      <c r="G57" s="23">
        <v>3950.0</v>
      </c>
      <c r="H57" s="18"/>
      <c r="I57" s="3"/>
      <c r="J57" s="75">
        <f t="shared" si="3"/>
        <v>46118</v>
      </c>
      <c r="K57" s="71">
        <f>SUMIF(E5:E127,J57,G5:G127)</f>
        <v>11188</v>
      </c>
      <c r="L57" s="76">
        <f t="shared" si="4"/>
        <v>85215</v>
      </c>
      <c r="M57" s="72">
        <f>M45*13</f>
        <v>80522.83871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46122.0</v>
      </c>
      <c r="F58" s="16" t="s">
        <v>17</v>
      </c>
      <c r="G58" s="23">
        <v>1000.0</v>
      </c>
      <c r="H58" s="18"/>
      <c r="I58" s="3"/>
      <c r="J58" s="75">
        <f t="shared" si="3"/>
        <v>46119</v>
      </c>
      <c r="K58" s="71">
        <f>SUMIF(E5:E127,J58,G5:G127)</f>
        <v>7353</v>
      </c>
      <c r="L58" s="76">
        <f t="shared" si="4"/>
        <v>92568</v>
      </c>
      <c r="M58" s="72">
        <f>M45*14</f>
        <v>86716.90323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46122.0</v>
      </c>
      <c r="F59" s="16" t="s">
        <v>11</v>
      </c>
      <c r="G59" s="23">
        <v>850.0</v>
      </c>
      <c r="H59" s="18"/>
      <c r="I59" s="3"/>
      <c r="J59" s="75">
        <f t="shared" si="3"/>
        <v>46120</v>
      </c>
      <c r="K59" s="71">
        <f>SUMIF(E5:E127,J59,G5:G127)</f>
        <v>6895</v>
      </c>
      <c r="L59" s="76">
        <f t="shared" si="4"/>
        <v>99463</v>
      </c>
      <c r="M59" s="72">
        <f>M45*15</f>
        <v>92910.96774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46122.0</v>
      </c>
      <c r="F60" s="16" t="s">
        <v>41</v>
      </c>
      <c r="G60" s="23">
        <v>10560.0</v>
      </c>
      <c r="H60" s="18"/>
      <c r="I60" s="3"/>
      <c r="J60" s="75">
        <f t="shared" si="3"/>
        <v>46121</v>
      </c>
      <c r="K60" s="71">
        <f>SUMIF(E5:E127,J60,G5:G127)</f>
        <v>5529</v>
      </c>
      <c r="L60" s="76">
        <f t="shared" si="4"/>
        <v>104992</v>
      </c>
      <c r="M60" s="72">
        <f>M45*16</f>
        <v>99105.03226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46122.0</v>
      </c>
      <c r="F61" s="16" t="s">
        <v>13</v>
      </c>
      <c r="G61" s="23">
        <v>1512.0</v>
      </c>
      <c r="H61" s="18"/>
      <c r="I61" s="3"/>
      <c r="J61" s="75">
        <f t="shared" si="3"/>
        <v>46122</v>
      </c>
      <c r="K61" s="71">
        <f>SUMIF(E5:E127,J61,G5:G127)</f>
        <v>13922</v>
      </c>
      <c r="L61" s="76">
        <f t="shared" si="4"/>
        <v>118914</v>
      </c>
      <c r="M61" s="72">
        <f>M45*17</f>
        <v>105299.0968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46123.0</v>
      </c>
      <c r="F62" s="16" t="s">
        <v>17</v>
      </c>
      <c r="G62" s="23">
        <v>270.0</v>
      </c>
      <c r="H62" s="18"/>
      <c r="I62" s="3"/>
      <c r="J62" s="75">
        <f t="shared" si="3"/>
        <v>46123</v>
      </c>
      <c r="K62" s="71">
        <f>SUMIF(E5:E127,J62,G5:G127)</f>
        <v>6090</v>
      </c>
      <c r="L62" s="76">
        <f t="shared" si="4"/>
        <v>125004</v>
      </c>
      <c r="M62" s="72">
        <f>M45*18</f>
        <v>111493.1613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46123.0</v>
      </c>
      <c r="F63" s="16" t="s">
        <v>11</v>
      </c>
      <c r="G63" s="23">
        <v>1440.0</v>
      </c>
      <c r="H63" s="23"/>
      <c r="I63" s="3"/>
      <c r="J63" s="75">
        <f t="shared" si="3"/>
        <v>46124</v>
      </c>
      <c r="K63" s="71">
        <f>SUMIF(E5:E127,J63,G5:G127)</f>
        <v>10830</v>
      </c>
      <c r="L63" s="76">
        <f t="shared" si="4"/>
        <v>135834</v>
      </c>
      <c r="M63" s="72">
        <f>M45*19</f>
        <v>117687.2258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46123.0</v>
      </c>
      <c r="F64" s="16" t="s">
        <v>17</v>
      </c>
      <c r="G64" s="23">
        <v>200.0</v>
      </c>
      <c r="H64" s="18"/>
      <c r="I64" s="3"/>
      <c r="J64" s="75">
        <f t="shared" si="3"/>
        <v>46125</v>
      </c>
      <c r="K64" s="71">
        <f>SUMIF(E5:E127,J64,G5:G127)</f>
        <v>637</v>
      </c>
      <c r="L64" s="76">
        <f t="shared" si="4"/>
        <v>136471</v>
      </c>
      <c r="M64" s="72">
        <f>M45*20</f>
        <v>123881.2903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46123.0</v>
      </c>
      <c r="F65" s="16" t="s">
        <v>11</v>
      </c>
      <c r="G65" s="23">
        <v>850.0</v>
      </c>
      <c r="H65" s="23"/>
      <c r="I65" s="3"/>
      <c r="J65" s="75">
        <f t="shared" si="3"/>
        <v>46126</v>
      </c>
      <c r="K65" s="71">
        <f>SUMIF(E5:E127,J65,G5:G127)</f>
        <v>4358</v>
      </c>
      <c r="L65" s="76">
        <f t="shared" si="4"/>
        <v>140829</v>
      </c>
      <c r="M65" s="72">
        <f>M45*21</f>
        <v>130075.3548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46123.0</v>
      </c>
      <c r="F66" s="16" t="s">
        <v>9</v>
      </c>
      <c r="G66" s="23">
        <v>1000.0</v>
      </c>
      <c r="H66" s="18"/>
      <c r="I66" s="3"/>
      <c r="J66" s="75">
        <f t="shared" si="3"/>
        <v>46127</v>
      </c>
      <c r="K66" s="71">
        <f>SUMIF(E5:E127,J66,G5:G127)</f>
        <v>3489</v>
      </c>
      <c r="L66" s="76">
        <f t="shared" si="4"/>
        <v>144318</v>
      </c>
      <c r="M66" s="72">
        <f>M45*22</f>
        <v>136269.4194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46123.0</v>
      </c>
      <c r="F67" s="16" t="s">
        <v>11</v>
      </c>
      <c r="G67" s="23">
        <v>2330.0</v>
      </c>
      <c r="H67" s="18"/>
      <c r="I67" s="3"/>
      <c r="J67" s="75">
        <f t="shared" si="3"/>
        <v>46128</v>
      </c>
      <c r="K67" s="71">
        <f>SUMIF(E5:E127,J67,G5:G127)</f>
        <v>2370</v>
      </c>
      <c r="L67" s="76">
        <f t="shared" si="4"/>
        <v>146688</v>
      </c>
      <c r="M67" s="72">
        <f>M45*23</f>
        <v>142463.4839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46124.0</v>
      </c>
      <c r="F68" s="16" t="s">
        <v>11</v>
      </c>
      <c r="G68" s="23">
        <v>3146.0</v>
      </c>
      <c r="H68" s="18"/>
      <c r="I68" s="3"/>
      <c r="J68" s="75">
        <f t="shared" si="3"/>
        <v>46129</v>
      </c>
      <c r="K68" s="71">
        <f>SUMIF(E5:E127,J68,G5:G127)</f>
        <v>3144</v>
      </c>
      <c r="L68" s="76">
        <f t="shared" si="4"/>
        <v>149832</v>
      </c>
      <c r="M68" s="72">
        <f>M45*24</f>
        <v>148657.5484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46124.0</v>
      </c>
      <c r="F69" s="16" t="s">
        <v>41</v>
      </c>
      <c r="G69" s="23">
        <v>3790.0</v>
      </c>
      <c r="H69" s="18"/>
      <c r="I69" s="3"/>
      <c r="J69" s="75">
        <f t="shared" si="3"/>
        <v>46130</v>
      </c>
      <c r="K69" s="71">
        <f>SUMIF(E5:E127,J69,G5:G127)</f>
        <v>7920</v>
      </c>
      <c r="L69" s="76">
        <f t="shared" si="4"/>
        <v>157752</v>
      </c>
      <c r="M69" s="72">
        <f>M45*25</f>
        <v>154851.6129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46124.0</v>
      </c>
      <c r="F70" s="16" t="s">
        <v>11</v>
      </c>
      <c r="G70" s="23">
        <v>3894.0</v>
      </c>
      <c r="H70" s="23"/>
      <c r="I70" s="3"/>
      <c r="J70" s="75">
        <f t="shared" si="3"/>
        <v>46131</v>
      </c>
      <c r="K70" s="71">
        <f>SUMIF(E5:E127,J70,G5:G127)</f>
        <v>4138</v>
      </c>
      <c r="L70" s="76">
        <f t="shared" si="4"/>
        <v>161890</v>
      </c>
      <c r="M70" s="72">
        <f>M45*26</f>
        <v>161045.6774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46125.0</v>
      </c>
      <c r="F71" s="16" t="s">
        <v>14</v>
      </c>
      <c r="G71" s="23">
        <v>637.0</v>
      </c>
      <c r="H71" s="18"/>
      <c r="I71" s="3"/>
      <c r="J71" s="75">
        <f t="shared" si="3"/>
        <v>46132</v>
      </c>
      <c r="K71" s="71">
        <f>SUMIF(E5:E127,J71,G5:G127)</f>
        <v>11426</v>
      </c>
      <c r="L71" s="76">
        <f t="shared" si="4"/>
        <v>173316</v>
      </c>
      <c r="M71" s="72">
        <f>M45*27</f>
        <v>167239.7419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46126.0</v>
      </c>
      <c r="F72" s="16" t="s">
        <v>11</v>
      </c>
      <c r="G72" s="23">
        <v>1070.0</v>
      </c>
      <c r="H72" s="18"/>
      <c r="I72" s="3"/>
      <c r="J72" s="75">
        <f t="shared" si="3"/>
        <v>46133</v>
      </c>
      <c r="K72" s="71">
        <f>SUMIF(E5:E127,J72,G5:G127)</f>
        <v>8518</v>
      </c>
      <c r="L72" s="76">
        <f t="shared" si="4"/>
        <v>181834</v>
      </c>
      <c r="M72" s="72">
        <f>M45*28</f>
        <v>173433.8065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46126.0</v>
      </c>
      <c r="F73" s="16" t="s">
        <v>16</v>
      </c>
      <c r="G73" s="23">
        <v>3288.0</v>
      </c>
      <c r="H73" s="18"/>
      <c r="I73" s="3"/>
      <c r="J73" s="75">
        <f t="shared" si="3"/>
        <v>46134</v>
      </c>
      <c r="K73" s="71">
        <f>SUMIF(E5:E127,J73,G5:G127)</f>
        <v>13362</v>
      </c>
      <c r="L73" s="76">
        <f t="shared" si="4"/>
        <v>195196</v>
      </c>
      <c r="M73" s="72">
        <f>M45*29</f>
        <v>179627.871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46127.0</v>
      </c>
      <c r="F74" s="16" t="s">
        <v>13</v>
      </c>
      <c r="G74" s="23">
        <v>401.0</v>
      </c>
      <c r="H74" s="18"/>
      <c r="I74" s="3"/>
      <c r="J74" s="75">
        <f t="shared" si="3"/>
        <v>46135</v>
      </c>
      <c r="K74" s="71">
        <f>SUMIF(E5:E127,J74,G5:G127)</f>
        <v>6454</v>
      </c>
      <c r="L74" s="76">
        <f t="shared" si="4"/>
        <v>201650</v>
      </c>
      <c r="M74" s="72">
        <f>M45*30</f>
        <v>185821.9355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46127.0</v>
      </c>
      <c r="F75" s="16" t="s">
        <v>11</v>
      </c>
      <c r="G75" s="23">
        <v>1728.0</v>
      </c>
      <c r="H75" s="18"/>
      <c r="I75" s="3"/>
      <c r="J75" s="75">
        <f t="shared" si="3"/>
        <v>46136</v>
      </c>
      <c r="K75" s="71">
        <f>SUMIF(E5:E127,J75,G5:G127)</f>
        <v>0</v>
      </c>
      <c r="L75" s="76">
        <f t="shared" si="4"/>
        <v>201650</v>
      </c>
      <c r="M75" s="72">
        <f>M45*31</f>
        <v>192016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46127.0</v>
      </c>
      <c r="F76" s="16" t="s">
        <v>13</v>
      </c>
      <c r="G76" s="23">
        <v>160.0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46127.0</v>
      </c>
      <c r="F77" s="16" t="s">
        <v>17</v>
      </c>
      <c r="G77" s="23">
        <v>200.0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46127.0</v>
      </c>
      <c r="F78" s="16" t="s">
        <v>17</v>
      </c>
      <c r="G78" s="23">
        <v>1000.0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46128.0</v>
      </c>
      <c r="F79" s="16" t="s">
        <v>11</v>
      </c>
      <c r="G79" s="23">
        <v>2370.0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46129.0</v>
      </c>
      <c r="F80" s="16" t="s">
        <v>13</v>
      </c>
      <c r="G80" s="23">
        <v>694.0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46129.0</v>
      </c>
      <c r="F81" s="16" t="s">
        <v>11</v>
      </c>
      <c r="G81" s="23">
        <v>1450.0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46129.0</v>
      </c>
      <c r="F82" s="16" t="s">
        <v>17</v>
      </c>
      <c r="G82" s="23">
        <v>1000.0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46130.0</v>
      </c>
      <c r="F83" s="16" t="s">
        <v>41</v>
      </c>
      <c r="G83" s="23">
        <v>3700.0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46130.0</v>
      </c>
      <c r="F84" s="16" t="s">
        <v>11</v>
      </c>
      <c r="G84" s="23">
        <v>4220.0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46131.0</v>
      </c>
      <c r="F85" s="16" t="s">
        <v>16</v>
      </c>
      <c r="G85" s="23">
        <v>1978.0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46131.0</v>
      </c>
      <c r="F86" s="16" t="s">
        <v>40</v>
      </c>
      <c r="G86" s="23">
        <v>2160.0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46132.0</v>
      </c>
      <c r="F87" s="16" t="s">
        <v>11</v>
      </c>
      <c r="G87" s="23">
        <v>2926.0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>
        <v>46132.0</v>
      </c>
      <c r="F88" s="16" t="s">
        <v>9</v>
      </c>
      <c r="G88" s="23">
        <v>7500.0</v>
      </c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>
        <v>46132.0</v>
      </c>
      <c r="F89" s="16" t="s">
        <v>17</v>
      </c>
      <c r="G89" s="23">
        <v>1000.0</v>
      </c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>
        <v>46133.0</v>
      </c>
      <c r="F90" s="16" t="s">
        <v>13</v>
      </c>
      <c r="G90" s="23">
        <v>518.0</v>
      </c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>
        <v>46133.0</v>
      </c>
      <c r="F91" s="16" t="s">
        <v>11</v>
      </c>
      <c r="G91" s="23">
        <v>8000.0</v>
      </c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>
        <v>46134.0</v>
      </c>
      <c r="F92" s="16" t="s">
        <v>14</v>
      </c>
      <c r="G92" s="23">
        <v>7530.0</v>
      </c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>
        <v>46134.0</v>
      </c>
      <c r="F93" s="16" t="s">
        <v>14</v>
      </c>
      <c r="G93" s="23">
        <v>880.0</v>
      </c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>
        <v>46134.0</v>
      </c>
      <c r="F94" s="16" t="s">
        <v>17</v>
      </c>
      <c r="G94" s="23">
        <v>2000.0</v>
      </c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>
        <v>46134.0</v>
      </c>
      <c r="F95" s="16" t="s">
        <v>13</v>
      </c>
      <c r="G95" s="23">
        <v>847.0</v>
      </c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>
        <v>46134.0</v>
      </c>
      <c r="F96" s="16" t="s">
        <v>14</v>
      </c>
      <c r="G96" s="23">
        <v>2105.0</v>
      </c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>
        <v>46135.0</v>
      </c>
      <c r="F97" s="16" t="s">
        <v>13</v>
      </c>
      <c r="G97" s="23">
        <v>1184.0</v>
      </c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>
        <v>46135.0</v>
      </c>
      <c r="F98" s="16" t="s">
        <v>11</v>
      </c>
      <c r="G98" s="23">
        <v>5270.0</v>
      </c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/>
      <c r="F99" s="16"/>
      <c r="G99" s="23"/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/>
      <c r="F100" s="16"/>
      <c r="G100" s="23"/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/>
      <c r="F101" s="16"/>
      <c r="G101" s="23"/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/>
      <c r="F102" s="16"/>
      <c r="G102" s="23"/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/>
      <c r="F103" s="16"/>
      <c r="G103" s="23"/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/>
      <c r="F104" s="16"/>
      <c r="G104" s="23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/>
      <c r="F105" s="16"/>
      <c r="G105" s="23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/>
      <c r="F106" s="16"/>
      <c r="G106" s="23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/>
      <c r="F107" s="16"/>
      <c r="G107" s="23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/>
      <c r="F108" s="16"/>
      <c r="G108" s="23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/>
      <c r="F109" s="16"/>
      <c r="G109" s="23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/>
      <c r="F110" s="16"/>
      <c r="G110" s="23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78"/>
      <c r="F111" s="79"/>
      <c r="G111" s="18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78"/>
      <c r="F112" s="79"/>
      <c r="G112" s="18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78"/>
      <c r="F113" s="79"/>
      <c r="G113" s="18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78"/>
      <c r="F114" s="79"/>
      <c r="G114" s="18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78"/>
      <c r="F115" s="79"/>
      <c r="G115" s="18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78"/>
      <c r="F116" s="79"/>
      <c r="G116" s="18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23">
        <v>2400.0</v>
      </c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79"/>
      <c r="G125" s="23">
        <v>9400.0</v>
      </c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79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79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213450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E5:E127">
      <formula1>'26Apr'!$J$45:$J$75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46143.0</v>
      </c>
      <c r="D1" s="3"/>
      <c r="E1" s="4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681034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681034.0</v>
      </c>
      <c r="D5" s="3"/>
      <c r="E5" s="15">
        <v>46137.0</v>
      </c>
      <c r="F5" s="16" t="s">
        <v>9</v>
      </c>
      <c r="G5" s="17">
        <v>1040.0</v>
      </c>
      <c r="H5" s="18"/>
      <c r="I5" s="3"/>
      <c r="J5" s="19" t="s">
        <v>10</v>
      </c>
      <c r="K5" s="20">
        <f>G128+C40</f>
        <v>337069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46137.0</v>
      </c>
      <c r="F6" s="16" t="s">
        <v>9</v>
      </c>
      <c r="G6" s="23">
        <v>1150.0</v>
      </c>
      <c r="H6" s="18"/>
      <c r="I6" s="3"/>
      <c r="J6" s="24" t="s">
        <v>12</v>
      </c>
      <c r="K6" s="25">
        <f>K4-K5</f>
        <v>343965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46137.0</v>
      </c>
      <c r="F7" s="16" t="s">
        <v>9</v>
      </c>
      <c r="G7" s="23">
        <v>850.0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46137.0</v>
      </c>
      <c r="F8" s="16" t="s">
        <v>13</v>
      </c>
      <c r="G8" s="23">
        <v>113.0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46137.0</v>
      </c>
      <c r="F9" s="16" t="s">
        <v>13</v>
      </c>
      <c r="G9" s="23">
        <v>137.0</v>
      </c>
      <c r="H9" s="18"/>
      <c r="I9" s="3"/>
      <c r="J9" s="28" t="s">
        <v>18</v>
      </c>
      <c r="K9" s="29">
        <f>EDATE(B1,-1) + 24</f>
        <v>46137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46137.0</v>
      </c>
      <c r="F10" s="16" t="s">
        <v>17</v>
      </c>
      <c r="G10" s="23">
        <v>1000.0</v>
      </c>
      <c r="H10" s="23"/>
      <c r="I10" s="3"/>
      <c r="J10" s="28" t="s">
        <v>19</v>
      </c>
      <c r="K10" s="31">
        <f>EDATE(B1,0) + 23</f>
        <v>46166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46138.0</v>
      </c>
      <c r="F11" s="16" t="s">
        <v>11</v>
      </c>
      <c r="G11" s="23">
        <v>642.0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46138.0</v>
      </c>
      <c r="F12" s="16" t="s">
        <v>17</v>
      </c>
      <c r="G12" s="23">
        <v>1000.0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46138.0</v>
      </c>
      <c r="F13" s="16" t="s">
        <v>11</v>
      </c>
      <c r="G13" s="23">
        <v>760.0</v>
      </c>
      <c r="H13" s="18"/>
      <c r="I13" s="3"/>
      <c r="J13" s="33" t="s">
        <v>22</v>
      </c>
      <c r="K13" s="34">
        <v>300000.0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681034</v>
      </c>
      <c r="D14" s="3"/>
      <c r="E14" s="15">
        <v>46139.0</v>
      </c>
      <c r="F14" s="16" t="s">
        <v>40</v>
      </c>
      <c r="G14" s="23">
        <v>2000.0</v>
      </c>
      <c r="H14" s="18"/>
      <c r="I14" s="3"/>
      <c r="J14" s="37" t="s">
        <v>24</v>
      </c>
      <c r="K14" s="38">
        <f>K6-K13</f>
        <v>43965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46139.0</v>
      </c>
      <c r="F15" s="16" t="s">
        <v>11</v>
      </c>
      <c r="G15" s="23">
        <v>1380.0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46139.0</v>
      </c>
      <c r="F16" s="16" t="s">
        <v>28</v>
      </c>
      <c r="G16" s="23">
        <v>5510.0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46139.0</v>
      </c>
      <c r="F17" s="16" t="s">
        <v>16</v>
      </c>
      <c r="G17" s="23">
        <v>768.0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46140.0</v>
      </c>
      <c r="F18" s="16" t="s">
        <v>11</v>
      </c>
      <c r="G18" s="23">
        <v>1558.0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46141.0</v>
      </c>
      <c r="F19" s="16" t="s">
        <v>17</v>
      </c>
      <c r="G19" s="23">
        <v>1000.0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44">
        <v>450.0</v>
      </c>
      <c r="D20" s="3"/>
      <c r="E20" s="15">
        <v>46141.0</v>
      </c>
      <c r="F20" s="16" t="s">
        <v>11</v>
      </c>
      <c r="G20" s="23">
        <v>1177.0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46141.0</v>
      </c>
      <c r="F21" s="16" t="s">
        <v>11</v>
      </c>
      <c r="G21" s="23">
        <v>330.0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46141.0</v>
      </c>
      <c r="F22" s="16" t="s">
        <v>11</v>
      </c>
      <c r="G22" s="23">
        <v>520.0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46141.0</v>
      </c>
      <c r="F23" s="16" t="s">
        <v>11</v>
      </c>
      <c r="G23" s="23">
        <v>4109.0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13127.0</v>
      </c>
      <c r="D24" s="3"/>
      <c r="E24" s="15">
        <v>46141.0</v>
      </c>
      <c r="F24" s="16" t="s">
        <v>17</v>
      </c>
      <c r="G24" s="23">
        <v>1000.0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46142.0</v>
      </c>
      <c r="F25" s="16" t="s">
        <v>16</v>
      </c>
      <c r="G25" s="53">
        <v>3173.0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46143.0</v>
      </c>
      <c r="F26" s="16" t="s">
        <v>11</v>
      </c>
      <c r="G26" s="23">
        <v>5137.0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46144.0</v>
      </c>
      <c r="F27" s="16" t="s">
        <v>16</v>
      </c>
      <c r="G27" s="23">
        <v>710.0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46144.0</v>
      </c>
      <c r="F28" s="16" t="s">
        <v>13</v>
      </c>
      <c r="G28" s="23">
        <v>140.0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46144.0</v>
      </c>
      <c r="F29" s="16" t="s">
        <v>17</v>
      </c>
      <c r="G29" s="23">
        <v>201.0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46145.0</v>
      </c>
      <c r="F30" s="16" t="s">
        <v>40</v>
      </c>
      <c r="G30" s="23">
        <v>4000.0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46145.0</v>
      </c>
      <c r="F31" s="16" t="s">
        <v>11</v>
      </c>
      <c r="G31" s="23">
        <v>4400.0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46145.0</v>
      </c>
      <c r="F32" s="16" t="s">
        <v>13</v>
      </c>
      <c r="G32" s="23">
        <v>135.0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46146.0</v>
      </c>
      <c r="F33" s="16" t="s">
        <v>16</v>
      </c>
      <c r="G33" s="23">
        <v>4058.0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46144.0</v>
      </c>
      <c r="F34" s="16" t="s">
        <v>9</v>
      </c>
      <c r="G34" s="23">
        <v>8280.0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46146.0</v>
      </c>
      <c r="F35" s="16" t="s">
        <v>17</v>
      </c>
      <c r="G35" s="23">
        <v>1000.0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46146.0</v>
      </c>
      <c r="F36" s="16" t="s">
        <v>11</v>
      </c>
      <c r="G36" s="23">
        <v>540.0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46146.0</v>
      </c>
      <c r="F37" s="16" t="s">
        <v>13</v>
      </c>
      <c r="G37" s="23">
        <v>1630.0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46146.0</v>
      </c>
      <c r="F38" s="16" t="s">
        <v>11</v>
      </c>
      <c r="G38" s="23">
        <v>1350.0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46146.0</v>
      </c>
      <c r="F39" s="16" t="s">
        <v>16</v>
      </c>
      <c r="G39" s="23">
        <v>1125.0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162754</v>
      </c>
      <c r="D40" s="3"/>
      <c r="E40" s="15">
        <v>46147.0</v>
      </c>
      <c r="F40" s="16" t="s">
        <v>16</v>
      </c>
      <c r="G40" s="23">
        <v>1339.0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46147.0</v>
      </c>
      <c r="F41" s="16" t="s">
        <v>14</v>
      </c>
      <c r="G41" s="23">
        <v>1058.0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46148.0</v>
      </c>
      <c r="F42" s="16" t="s">
        <v>11</v>
      </c>
      <c r="G42" s="23">
        <v>1120.0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46148.0</v>
      </c>
      <c r="F43" s="16" t="s">
        <v>17</v>
      </c>
      <c r="G43" s="23">
        <v>1000.0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46149.0</v>
      </c>
      <c r="F44" s="16" t="s">
        <v>40</v>
      </c>
      <c r="G44" s="23">
        <v>3990.0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46149.0</v>
      </c>
      <c r="F45" s="16" t="s">
        <v>11</v>
      </c>
      <c r="G45" s="23">
        <v>1500.0</v>
      </c>
      <c r="H45" s="18"/>
      <c r="I45" s="3"/>
      <c r="J45" s="69">
        <f>EDATE(B1,-1) + 24 + 0</f>
        <v>46137</v>
      </c>
      <c r="K45" s="70">
        <f>SUMIF(E5:E127,J45,G5:G127)</f>
        <v>4290</v>
      </c>
      <c r="L45" s="71">
        <f>K45</f>
        <v>4290</v>
      </c>
      <c r="M45" s="72">
        <f>(K4-C40-K13)/(K10-K9+1)</f>
        <v>7276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46150.0</v>
      </c>
      <c r="F46" s="16" t="s">
        <v>14</v>
      </c>
      <c r="G46" s="23">
        <v>2380.0</v>
      </c>
      <c r="H46" s="18"/>
      <c r="I46" s="3"/>
      <c r="J46" s="75">
        <f t="shared" ref="J46:J75" si="3">J45 + 1</f>
        <v>46138</v>
      </c>
      <c r="K46" s="71">
        <f>SUMIF(E5:E127,J46,G5:G127)</f>
        <v>2402</v>
      </c>
      <c r="L46" s="76">
        <f t="shared" ref="L46:L75" si="4">SUM(L45,K46)</f>
        <v>6692</v>
      </c>
      <c r="M46" s="72">
        <f>M45*2</f>
        <v>14552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46150.0</v>
      </c>
      <c r="F47" s="16" t="s">
        <v>14</v>
      </c>
      <c r="G47" s="23">
        <v>940.0</v>
      </c>
      <c r="H47" s="18"/>
      <c r="I47" s="3"/>
      <c r="J47" s="75">
        <f t="shared" si="3"/>
        <v>46139</v>
      </c>
      <c r="K47" s="71">
        <f>SUMIF(E5:E127,J47,G5:G127)</f>
        <v>9658</v>
      </c>
      <c r="L47" s="76">
        <f t="shared" si="4"/>
        <v>16350</v>
      </c>
      <c r="M47" s="72">
        <f>M45*3</f>
        <v>21828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46150.0</v>
      </c>
      <c r="F48" s="16" t="s">
        <v>11</v>
      </c>
      <c r="G48" s="23">
        <v>2156.0</v>
      </c>
      <c r="H48" s="18"/>
      <c r="I48" s="3"/>
      <c r="J48" s="75">
        <f t="shared" si="3"/>
        <v>46140</v>
      </c>
      <c r="K48" s="71">
        <f>SUMIF(E5:E127,J48,G5:G127)</f>
        <v>1558</v>
      </c>
      <c r="L48" s="76">
        <f t="shared" si="4"/>
        <v>17908</v>
      </c>
      <c r="M48" s="72">
        <f>M45*4</f>
        <v>29104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46150.0</v>
      </c>
      <c r="F49" s="16" t="s">
        <v>11</v>
      </c>
      <c r="G49" s="23">
        <v>1760.0</v>
      </c>
      <c r="H49" s="18"/>
      <c r="I49" s="3"/>
      <c r="J49" s="75">
        <f t="shared" si="3"/>
        <v>46141</v>
      </c>
      <c r="K49" s="71">
        <f>SUMIF(E5:E127,J49,G5:G127)</f>
        <v>8136</v>
      </c>
      <c r="L49" s="76">
        <f t="shared" si="4"/>
        <v>26044</v>
      </c>
      <c r="M49" s="72">
        <f>M45*5</f>
        <v>36380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46150.0</v>
      </c>
      <c r="F50" s="16" t="s">
        <v>13</v>
      </c>
      <c r="G50" s="23">
        <v>276.0</v>
      </c>
      <c r="H50" s="18"/>
      <c r="I50" s="3"/>
      <c r="J50" s="75">
        <f t="shared" si="3"/>
        <v>46142</v>
      </c>
      <c r="K50" s="71">
        <f>SUMIF(E5:E127,J50,G5:G127)</f>
        <v>3173</v>
      </c>
      <c r="L50" s="76">
        <f t="shared" si="4"/>
        <v>29217</v>
      </c>
      <c r="M50" s="72">
        <f>M45*6</f>
        <v>43656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46150.0</v>
      </c>
      <c r="F51" s="16" t="s">
        <v>13</v>
      </c>
      <c r="G51" s="23">
        <v>861.0</v>
      </c>
      <c r="H51" s="18"/>
      <c r="I51" s="3"/>
      <c r="J51" s="75">
        <f t="shared" si="3"/>
        <v>46143</v>
      </c>
      <c r="K51" s="71">
        <f>SUMIF(E5:E127,J51,G5:G127)</f>
        <v>5137</v>
      </c>
      <c r="L51" s="76">
        <f t="shared" si="4"/>
        <v>34354</v>
      </c>
      <c r="M51" s="72">
        <f>M45*7</f>
        <v>50932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46151.0</v>
      </c>
      <c r="F52" s="16" t="s">
        <v>11</v>
      </c>
      <c r="G52" s="23">
        <v>2260.0</v>
      </c>
      <c r="H52" s="23"/>
      <c r="I52" s="3"/>
      <c r="J52" s="75">
        <f t="shared" si="3"/>
        <v>46144</v>
      </c>
      <c r="K52" s="71">
        <f>SUMIF(E5:E127,J52,G5:G127)</f>
        <v>9331</v>
      </c>
      <c r="L52" s="76">
        <f t="shared" si="4"/>
        <v>43685</v>
      </c>
      <c r="M52" s="72">
        <f>M45*8</f>
        <v>58208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46151.0</v>
      </c>
      <c r="F53" s="16" t="s">
        <v>11</v>
      </c>
      <c r="G53" s="23">
        <v>1220.0</v>
      </c>
      <c r="H53" s="18"/>
      <c r="I53" s="3"/>
      <c r="J53" s="75">
        <f t="shared" si="3"/>
        <v>46145</v>
      </c>
      <c r="K53" s="71">
        <f>SUMIF(E5:E127,J53,G5:G127)</f>
        <v>8535</v>
      </c>
      <c r="L53" s="76">
        <f t="shared" si="4"/>
        <v>52220</v>
      </c>
      <c r="M53" s="72">
        <f>M45*9</f>
        <v>65484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46151.0</v>
      </c>
      <c r="F54" s="16" t="s">
        <v>13</v>
      </c>
      <c r="G54" s="23">
        <v>495.0</v>
      </c>
      <c r="H54" s="18"/>
      <c r="I54" s="3"/>
      <c r="J54" s="75">
        <f t="shared" si="3"/>
        <v>46146</v>
      </c>
      <c r="K54" s="71">
        <f>SUMIF(E5:E127,J54,G5:G127)</f>
        <v>9703</v>
      </c>
      <c r="L54" s="76">
        <f t="shared" si="4"/>
        <v>61923</v>
      </c>
      <c r="M54" s="72">
        <f>M45*10</f>
        <v>72760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46151.0</v>
      </c>
      <c r="F55" s="16" t="s">
        <v>40</v>
      </c>
      <c r="G55" s="23">
        <v>4631.0</v>
      </c>
      <c r="H55" s="18"/>
      <c r="I55" s="3"/>
      <c r="J55" s="75">
        <f t="shared" si="3"/>
        <v>46147</v>
      </c>
      <c r="K55" s="71">
        <f>SUMIF(E5:E127,J55,G5:G127)</f>
        <v>2397</v>
      </c>
      <c r="L55" s="76">
        <f t="shared" si="4"/>
        <v>64320</v>
      </c>
      <c r="M55" s="72">
        <f>M45*11</f>
        <v>80036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46151.0</v>
      </c>
      <c r="F56" s="16" t="s">
        <v>17</v>
      </c>
      <c r="G56" s="23">
        <v>740.0</v>
      </c>
      <c r="H56" s="18"/>
      <c r="I56" s="3"/>
      <c r="J56" s="75">
        <f t="shared" si="3"/>
        <v>46148</v>
      </c>
      <c r="K56" s="71">
        <f>SUMIF(E5:E127,J56,G5:G127)</f>
        <v>2120</v>
      </c>
      <c r="L56" s="76">
        <f t="shared" si="4"/>
        <v>66440</v>
      </c>
      <c r="M56" s="72">
        <f>M45*12</f>
        <v>87312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46151.0</v>
      </c>
      <c r="F57" s="16" t="s">
        <v>17</v>
      </c>
      <c r="G57" s="23">
        <v>1373.0</v>
      </c>
      <c r="H57" s="18"/>
      <c r="I57" s="3"/>
      <c r="J57" s="75">
        <f t="shared" si="3"/>
        <v>46149</v>
      </c>
      <c r="K57" s="71">
        <f>SUMIF(E5:E127,J57,G5:G127)</f>
        <v>5490</v>
      </c>
      <c r="L57" s="76">
        <f t="shared" si="4"/>
        <v>71930</v>
      </c>
      <c r="M57" s="72">
        <f>M45*13</f>
        <v>94588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46152.0</v>
      </c>
      <c r="F58" s="16" t="s">
        <v>13</v>
      </c>
      <c r="G58" s="23">
        <v>740.0</v>
      </c>
      <c r="H58" s="18"/>
      <c r="I58" s="3"/>
      <c r="J58" s="75">
        <f t="shared" si="3"/>
        <v>46150</v>
      </c>
      <c r="K58" s="71">
        <f>SUMIF(E5:E127,J58,G5:G127)</f>
        <v>8373</v>
      </c>
      <c r="L58" s="76">
        <f t="shared" si="4"/>
        <v>80303</v>
      </c>
      <c r="M58" s="72">
        <f>M45*14</f>
        <v>101864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46152.0</v>
      </c>
      <c r="F59" s="16" t="s">
        <v>11</v>
      </c>
      <c r="G59" s="23">
        <v>4191.0</v>
      </c>
      <c r="H59" s="18"/>
      <c r="I59" s="3"/>
      <c r="J59" s="75">
        <f t="shared" si="3"/>
        <v>46151</v>
      </c>
      <c r="K59" s="71">
        <f>SUMIF(E5:E127,J59,G5:G127)</f>
        <v>10719</v>
      </c>
      <c r="L59" s="76">
        <f t="shared" si="4"/>
        <v>91022</v>
      </c>
      <c r="M59" s="72">
        <f>M45*15</f>
        <v>109140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46152.0</v>
      </c>
      <c r="F60" s="16" t="s">
        <v>13</v>
      </c>
      <c r="G60" s="23">
        <v>140.0</v>
      </c>
      <c r="H60" s="18"/>
      <c r="I60" s="3"/>
      <c r="J60" s="75">
        <f t="shared" si="3"/>
        <v>46152</v>
      </c>
      <c r="K60" s="71">
        <f>SUMIF(E5:E127,J60,G5:G127)</f>
        <v>6232</v>
      </c>
      <c r="L60" s="76">
        <f t="shared" si="4"/>
        <v>97254</v>
      </c>
      <c r="M60" s="72">
        <f>M45*16</f>
        <v>116416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46152.0</v>
      </c>
      <c r="F61" s="16" t="s">
        <v>40</v>
      </c>
      <c r="G61" s="23">
        <v>1161.0</v>
      </c>
      <c r="H61" s="18"/>
      <c r="I61" s="3"/>
      <c r="J61" s="75">
        <f t="shared" si="3"/>
        <v>46153</v>
      </c>
      <c r="K61" s="71">
        <f>SUMIF(E5:E127,J61,G5:G127)</f>
        <v>2230</v>
      </c>
      <c r="L61" s="76">
        <f t="shared" si="4"/>
        <v>99484</v>
      </c>
      <c r="M61" s="72">
        <f>M45*17</f>
        <v>123692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46153.0</v>
      </c>
      <c r="F62" s="16" t="s">
        <v>11</v>
      </c>
      <c r="G62" s="23">
        <v>2230.0</v>
      </c>
      <c r="H62" s="18"/>
      <c r="I62" s="3"/>
      <c r="J62" s="75">
        <f t="shared" si="3"/>
        <v>46154</v>
      </c>
      <c r="K62" s="71">
        <f>SUMIF(E5:E127,J62,G5:G127)</f>
        <v>3759</v>
      </c>
      <c r="L62" s="76">
        <f t="shared" si="4"/>
        <v>103243</v>
      </c>
      <c r="M62" s="72">
        <f>M45*18</f>
        <v>130968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46154.0</v>
      </c>
      <c r="F63" s="16" t="s">
        <v>13</v>
      </c>
      <c r="G63" s="23">
        <v>1459.0</v>
      </c>
      <c r="H63" s="23"/>
      <c r="I63" s="3"/>
      <c r="J63" s="75">
        <f t="shared" si="3"/>
        <v>46155</v>
      </c>
      <c r="K63" s="71">
        <f>SUMIF(E5:E127,J63,G5:G127)</f>
        <v>3627</v>
      </c>
      <c r="L63" s="76">
        <f t="shared" si="4"/>
        <v>106870</v>
      </c>
      <c r="M63" s="72">
        <f>M45*19</f>
        <v>138244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46154.0</v>
      </c>
      <c r="F64" s="16" t="s">
        <v>9</v>
      </c>
      <c r="G64" s="23">
        <v>2000.0</v>
      </c>
      <c r="H64" s="18"/>
      <c r="I64" s="3"/>
      <c r="J64" s="75">
        <f t="shared" si="3"/>
        <v>46156</v>
      </c>
      <c r="K64" s="71">
        <f>SUMIF(E5:E127,J64,G5:G127)</f>
        <v>11892</v>
      </c>
      <c r="L64" s="76">
        <f t="shared" si="4"/>
        <v>118762</v>
      </c>
      <c r="M64" s="72">
        <f>M45*20</f>
        <v>145520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46155.0</v>
      </c>
      <c r="F65" s="16" t="s">
        <v>13</v>
      </c>
      <c r="G65" s="23">
        <v>627.0</v>
      </c>
      <c r="H65" s="23"/>
      <c r="I65" s="3"/>
      <c r="J65" s="75">
        <f t="shared" si="3"/>
        <v>46157</v>
      </c>
      <c r="K65" s="71">
        <f>SUMIF(E5:E127,J65,G5:G127)</f>
        <v>4551</v>
      </c>
      <c r="L65" s="76">
        <f t="shared" si="4"/>
        <v>123313</v>
      </c>
      <c r="M65" s="72">
        <f>M45*21</f>
        <v>152796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46155.0</v>
      </c>
      <c r="F66" s="16" t="s">
        <v>17</v>
      </c>
      <c r="G66" s="23">
        <v>2000.0</v>
      </c>
      <c r="H66" s="18"/>
      <c r="I66" s="3"/>
      <c r="J66" s="75">
        <f t="shared" si="3"/>
        <v>46158</v>
      </c>
      <c r="K66" s="71">
        <f>SUMIF(E5:E127,J66,G5:G127)</f>
        <v>4982</v>
      </c>
      <c r="L66" s="76">
        <f t="shared" si="4"/>
        <v>128295</v>
      </c>
      <c r="M66" s="72">
        <f>M45*22</f>
        <v>160072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46154.0</v>
      </c>
      <c r="F67" s="16" t="s">
        <v>40</v>
      </c>
      <c r="G67" s="23">
        <v>300.0</v>
      </c>
      <c r="H67" s="18"/>
      <c r="I67" s="3"/>
      <c r="J67" s="75">
        <f t="shared" si="3"/>
        <v>46159</v>
      </c>
      <c r="K67" s="71">
        <f>SUMIF(E5:E127,J67,G5:G127)</f>
        <v>2352</v>
      </c>
      <c r="L67" s="76">
        <f t="shared" si="4"/>
        <v>130647</v>
      </c>
      <c r="M67" s="72">
        <f>M45*23</f>
        <v>167348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46155.0</v>
      </c>
      <c r="F68" s="16" t="s">
        <v>17</v>
      </c>
      <c r="G68" s="23">
        <v>1000.0</v>
      </c>
      <c r="H68" s="18"/>
      <c r="I68" s="3"/>
      <c r="J68" s="75">
        <f t="shared" si="3"/>
        <v>46160</v>
      </c>
      <c r="K68" s="71">
        <f>SUMIF(E5:E127,J68,G5:G127)</f>
        <v>11850</v>
      </c>
      <c r="L68" s="76">
        <f t="shared" si="4"/>
        <v>142497</v>
      </c>
      <c r="M68" s="72">
        <f>M45*24</f>
        <v>174624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46156.0</v>
      </c>
      <c r="F69" s="16" t="s">
        <v>13</v>
      </c>
      <c r="G69" s="23">
        <v>924.0</v>
      </c>
      <c r="H69" s="18"/>
      <c r="I69" s="3"/>
      <c r="J69" s="75">
        <f t="shared" si="3"/>
        <v>46161</v>
      </c>
      <c r="K69" s="71">
        <f>SUMIF(E5:E127,J69,G5:G127)</f>
        <v>6680</v>
      </c>
      <c r="L69" s="76">
        <f t="shared" si="4"/>
        <v>149177</v>
      </c>
      <c r="M69" s="72">
        <f>M45*25</f>
        <v>181900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46156.0</v>
      </c>
      <c r="F70" s="16" t="s">
        <v>11</v>
      </c>
      <c r="G70" s="23">
        <v>4720.0</v>
      </c>
      <c r="H70" s="23"/>
      <c r="I70" s="3"/>
      <c r="J70" s="75">
        <f t="shared" si="3"/>
        <v>46162</v>
      </c>
      <c r="K70" s="71">
        <f>SUMIF(E5:E127,J70,G5:G127)</f>
        <v>7526</v>
      </c>
      <c r="L70" s="76">
        <f t="shared" si="4"/>
        <v>156703</v>
      </c>
      <c r="M70" s="72">
        <f>M45*26</f>
        <v>189176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46156.0</v>
      </c>
      <c r="F71" s="16" t="s">
        <v>11</v>
      </c>
      <c r="G71" s="23">
        <v>1000.0</v>
      </c>
      <c r="H71" s="18"/>
      <c r="I71" s="3"/>
      <c r="J71" s="75">
        <f t="shared" si="3"/>
        <v>46163</v>
      </c>
      <c r="K71" s="71">
        <f>SUMIF(E5:E127,J71,G5:G127)</f>
        <v>5530</v>
      </c>
      <c r="L71" s="76">
        <f t="shared" si="4"/>
        <v>162233</v>
      </c>
      <c r="M71" s="72">
        <f>M45*27</f>
        <v>196452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46156.0</v>
      </c>
      <c r="F72" s="16" t="s">
        <v>16</v>
      </c>
      <c r="G72" s="23">
        <v>5248.0</v>
      </c>
      <c r="H72" s="18"/>
      <c r="I72" s="3"/>
      <c r="J72" s="75">
        <f t="shared" si="3"/>
        <v>46164</v>
      </c>
      <c r="K72" s="71">
        <f>SUMIF(E5:E127,J72,G5:G127)</f>
        <v>5870</v>
      </c>
      <c r="L72" s="76">
        <f t="shared" si="4"/>
        <v>168103</v>
      </c>
      <c r="M72" s="72">
        <f>M45*28</f>
        <v>203728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46157.0</v>
      </c>
      <c r="F73" s="16" t="s">
        <v>16</v>
      </c>
      <c r="G73" s="23">
        <v>2489.0</v>
      </c>
      <c r="H73" s="18"/>
      <c r="I73" s="3"/>
      <c r="J73" s="75">
        <f t="shared" si="3"/>
        <v>46165</v>
      </c>
      <c r="K73" s="71">
        <f>SUMIF(E5:E127,J73,G5:G127)</f>
        <v>3538</v>
      </c>
      <c r="L73" s="76">
        <f t="shared" si="4"/>
        <v>171641</v>
      </c>
      <c r="M73" s="72">
        <f>M45*29</f>
        <v>211004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46157.0</v>
      </c>
      <c r="F74" s="16" t="s">
        <v>11</v>
      </c>
      <c r="G74" s="23">
        <v>2062.0</v>
      </c>
      <c r="H74" s="18"/>
      <c r="I74" s="3"/>
      <c r="J74" s="75">
        <f t="shared" si="3"/>
        <v>46166</v>
      </c>
      <c r="K74" s="71">
        <f>SUMIF(E5:E127,J74,G5:G127)</f>
        <v>2674</v>
      </c>
      <c r="L74" s="76">
        <f t="shared" si="4"/>
        <v>174315</v>
      </c>
      <c r="M74" s="72">
        <f>M45*30</f>
        <v>218280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46158.0</v>
      </c>
      <c r="F75" s="16" t="s">
        <v>14</v>
      </c>
      <c r="G75" s="23">
        <v>1531.0</v>
      </c>
      <c r="H75" s="18"/>
      <c r="I75" s="3"/>
      <c r="J75" s="75">
        <f t="shared" si="3"/>
        <v>46167</v>
      </c>
      <c r="K75" s="71">
        <f>SUMIF(E5:E127,J75,G5:G127)</f>
        <v>0</v>
      </c>
      <c r="L75" s="76">
        <f t="shared" si="4"/>
        <v>174315</v>
      </c>
      <c r="M75" s="72">
        <f>M45*31</f>
        <v>225556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46158.0</v>
      </c>
      <c r="F76" s="16" t="s">
        <v>11</v>
      </c>
      <c r="G76" s="23">
        <v>1100.0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46158.0</v>
      </c>
      <c r="F77" s="16" t="s">
        <v>16</v>
      </c>
      <c r="G77" s="23">
        <v>2351.0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46159.0</v>
      </c>
      <c r="F78" s="16" t="s">
        <v>11</v>
      </c>
      <c r="G78" s="23">
        <v>2352.0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46160.0</v>
      </c>
      <c r="F79" s="16" t="s">
        <v>11</v>
      </c>
      <c r="G79" s="23">
        <v>1590.0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46160.0</v>
      </c>
      <c r="F80" s="16" t="s">
        <v>11</v>
      </c>
      <c r="G80" s="23">
        <v>2010.0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46160.0</v>
      </c>
      <c r="F81" s="16" t="s">
        <v>41</v>
      </c>
      <c r="G81" s="23">
        <v>8250.0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46161.0</v>
      </c>
      <c r="F82" s="16" t="s">
        <v>11</v>
      </c>
      <c r="G82" s="23">
        <v>1730.0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46161.0</v>
      </c>
      <c r="F83" s="16" t="s">
        <v>11</v>
      </c>
      <c r="G83" s="23">
        <v>4950.0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46162.0</v>
      </c>
      <c r="F84" s="16" t="s">
        <v>17</v>
      </c>
      <c r="G84" s="23">
        <v>1000.0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46162.0</v>
      </c>
      <c r="F85" s="16" t="s">
        <v>40</v>
      </c>
      <c r="G85" s="23">
        <v>1180.0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46162.0</v>
      </c>
      <c r="F86" s="16" t="s">
        <v>17</v>
      </c>
      <c r="G86" s="23">
        <v>1000.0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46162.0</v>
      </c>
      <c r="F87" s="16" t="s">
        <v>16</v>
      </c>
      <c r="G87" s="23">
        <v>4346.0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>
        <v>46163.0</v>
      </c>
      <c r="F88" s="16" t="s">
        <v>17</v>
      </c>
      <c r="G88" s="23">
        <v>1000.0</v>
      </c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>
        <v>46163.0</v>
      </c>
      <c r="F89" s="16" t="s">
        <v>11</v>
      </c>
      <c r="G89" s="23">
        <v>1880.0</v>
      </c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>
        <v>46163.0</v>
      </c>
      <c r="F90" s="16" t="s">
        <v>11</v>
      </c>
      <c r="G90" s="23">
        <v>2650.0</v>
      </c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>
        <v>46164.0</v>
      </c>
      <c r="F91" s="16" t="s">
        <v>11</v>
      </c>
      <c r="G91" s="23">
        <v>650.0</v>
      </c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>
        <v>46164.0</v>
      </c>
      <c r="F92" s="16" t="s">
        <v>11</v>
      </c>
      <c r="G92" s="23">
        <v>5220.0</v>
      </c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>
        <v>46165.0</v>
      </c>
      <c r="F93" s="16" t="s">
        <v>17</v>
      </c>
      <c r="G93" s="23">
        <v>1000.0</v>
      </c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>
        <v>46165.0</v>
      </c>
      <c r="F94" s="16" t="s">
        <v>11</v>
      </c>
      <c r="G94" s="23">
        <v>1400.0</v>
      </c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>
        <v>46165.0</v>
      </c>
      <c r="F95" s="16" t="s">
        <v>13</v>
      </c>
      <c r="G95" s="23">
        <v>149.0</v>
      </c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>
        <v>46165.0</v>
      </c>
      <c r="F96" s="16" t="s">
        <v>13</v>
      </c>
      <c r="G96" s="23">
        <v>989.0</v>
      </c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>
        <v>46166.0</v>
      </c>
      <c r="F97" s="16" t="s">
        <v>11</v>
      </c>
      <c r="G97" s="23">
        <v>1100.0</v>
      </c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>
        <v>46166.0</v>
      </c>
      <c r="F98" s="16" t="s">
        <v>11</v>
      </c>
      <c r="G98" s="23">
        <v>430.0</v>
      </c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>
        <v>46166.0</v>
      </c>
      <c r="F99" s="16" t="s">
        <v>13</v>
      </c>
      <c r="G99" s="23">
        <v>250.0</v>
      </c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>
        <v>46166.0</v>
      </c>
      <c r="F100" s="16" t="s">
        <v>13</v>
      </c>
      <c r="G100" s="23">
        <v>894.0</v>
      </c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/>
      <c r="F101" s="16"/>
      <c r="G101" s="23"/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/>
      <c r="F102" s="16"/>
      <c r="G102" s="23"/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/>
      <c r="F103" s="16"/>
      <c r="G103" s="23"/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/>
      <c r="F104" s="16"/>
      <c r="G104" s="23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/>
      <c r="F105" s="16"/>
      <c r="G105" s="23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/>
      <c r="F106" s="16"/>
      <c r="G106" s="23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/>
      <c r="F107" s="16"/>
      <c r="G107" s="23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/>
      <c r="F108" s="16"/>
      <c r="G108" s="23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/>
      <c r="F109" s="16"/>
      <c r="G109" s="23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/>
      <c r="F110" s="16"/>
      <c r="G110" s="23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78"/>
      <c r="F111" s="79"/>
      <c r="G111" s="18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78"/>
      <c r="F112" s="79"/>
      <c r="G112" s="18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78"/>
      <c r="F113" s="79"/>
      <c r="G113" s="18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78"/>
      <c r="F114" s="79"/>
      <c r="G114" s="18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78"/>
      <c r="F115" s="79"/>
      <c r="G115" s="18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78"/>
      <c r="F116" s="79"/>
      <c r="G116" s="18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23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79"/>
      <c r="G125" s="23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79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79"/>
      <c r="G127" s="18"/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174315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E5:E127">
      <formula1>'26May'!$J$45:$J$75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46174.0</v>
      </c>
      <c r="D1" s="3"/>
      <c r="E1" s="3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681301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681301.0</v>
      </c>
      <c r="D5" s="3"/>
      <c r="E5" s="15">
        <v>46167.0</v>
      </c>
      <c r="F5" s="16" t="s">
        <v>14</v>
      </c>
      <c r="G5" s="17">
        <v>3586.0</v>
      </c>
      <c r="H5" s="18"/>
      <c r="I5" s="3"/>
      <c r="J5" s="19" t="s">
        <v>10</v>
      </c>
      <c r="K5" s="20">
        <f>G128+C40</f>
        <v>357398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46167.0</v>
      </c>
      <c r="F6" s="16" t="s">
        <v>13</v>
      </c>
      <c r="G6" s="23">
        <v>250.0</v>
      </c>
      <c r="H6" s="18"/>
      <c r="I6" s="3"/>
      <c r="J6" s="24" t="s">
        <v>12</v>
      </c>
      <c r="K6" s="25">
        <f>K4-K5</f>
        <v>323903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46167.0</v>
      </c>
      <c r="F7" s="16" t="s">
        <v>17</v>
      </c>
      <c r="G7" s="23">
        <v>1000.0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46168.0</v>
      </c>
      <c r="F8" s="16" t="s">
        <v>16</v>
      </c>
      <c r="G8" s="23">
        <v>5816.0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46168.0</v>
      </c>
      <c r="F9" s="16" t="s">
        <v>11</v>
      </c>
      <c r="G9" s="23">
        <v>195.0</v>
      </c>
      <c r="H9" s="18"/>
      <c r="I9" s="3"/>
      <c r="J9" s="28" t="s">
        <v>18</v>
      </c>
      <c r="K9" s="29">
        <f>EDATE(B1,-1) + 24</f>
        <v>46167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46168.0</v>
      </c>
      <c r="F10" s="16" t="s">
        <v>13</v>
      </c>
      <c r="G10" s="23">
        <v>213.0</v>
      </c>
      <c r="H10" s="23"/>
      <c r="I10" s="3"/>
      <c r="J10" s="28" t="s">
        <v>19</v>
      </c>
      <c r="K10" s="31">
        <f>EDATE(B1,0) + 23</f>
        <v>46197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46169.0</v>
      </c>
      <c r="F11" s="16" t="s">
        <v>17</v>
      </c>
      <c r="G11" s="23">
        <v>1000.0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46169.0</v>
      </c>
      <c r="F12" s="16" t="s">
        <v>17</v>
      </c>
      <c r="G12" s="23">
        <v>230.0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46169.0</v>
      </c>
      <c r="F13" s="16" t="s">
        <v>11</v>
      </c>
      <c r="G13" s="23">
        <v>1010.0</v>
      </c>
      <c r="H13" s="18"/>
      <c r="I13" s="3"/>
      <c r="J13" s="33" t="s">
        <v>22</v>
      </c>
      <c r="K13" s="34">
        <v>300000.0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681301</v>
      </c>
      <c r="D14" s="3"/>
      <c r="E14" s="15">
        <v>46170.0</v>
      </c>
      <c r="F14" s="16" t="s">
        <v>17</v>
      </c>
      <c r="G14" s="23">
        <v>1000.0</v>
      </c>
      <c r="H14" s="18"/>
      <c r="I14" s="3"/>
      <c r="J14" s="37" t="s">
        <v>24</v>
      </c>
      <c r="K14" s="38">
        <f>K6-K13</f>
        <v>23903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46170.0</v>
      </c>
      <c r="F15" s="16" t="s">
        <v>11</v>
      </c>
      <c r="G15" s="23">
        <v>2520.0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46171.0</v>
      </c>
      <c r="F16" s="16" t="s">
        <v>13</v>
      </c>
      <c r="G16" s="23">
        <v>1606.0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46171.0</v>
      </c>
      <c r="F17" s="16" t="s">
        <v>17</v>
      </c>
      <c r="G17" s="23">
        <v>1000.0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46171.0</v>
      </c>
      <c r="F18" s="16" t="s">
        <v>11</v>
      </c>
      <c r="G18" s="23">
        <v>1350.0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46171.0</v>
      </c>
      <c r="F19" s="16" t="s">
        <v>40</v>
      </c>
      <c r="G19" s="23">
        <v>1080.0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44">
        <v>450.0</v>
      </c>
      <c r="D20" s="3"/>
      <c r="E20" s="15">
        <v>46171.0</v>
      </c>
      <c r="F20" s="16" t="s">
        <v>11</v>
      </c>
      <c r="G20" s="23">
        <v>1427.0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46171.0</v>
      </c>
      <c r="F21" s="16" t="s">
        <v>13</v>
      </c>
      <c r="G21" s="23">
        <v>950.0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46171.0</v>
      </c>
      <c r="F22" s="16" t="s">
        <v>13</v>
      </c>
      <c r="G22" s="23">
        <v>140.0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46172.0</v>
      </c>
      <c r="F23" s="16" t="s">
        <v>40</v>
      </c>
      <c r="G23" s="23">
        <v>4780.0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13127.0</v>
      </c>
      <c r="D24" s="3"/>
      <c r="E24" s="15">
        <v>46173.0</v>
      </c>
      <c r="F24" s="16" t="s">
        <v>13</v>
      </c>
      <c r="G24" s="23">
        <v>390.0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46173.0</v>
      </c>
      <c r="F25" s="16" t="s">
        <v>9</v>
      </c>
      <c r="G25" s="53">
        <v>3542.0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46173.0</v>
      </c>
      <c r="F26" s="16" t="s">
        <v>13</v>
      </c>
      <c r="G26" s="23">
        <v>340.0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46173.0</v>
      </c>
      <c r="F27" s="16" t="s">
        <v>11</v>
      </c>
      <c r="G27" s="23">
        <v>585.0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46173.0</v>
      </c>
      <c r="F28" s="16" t="s">
        <v>17</v>
      </c>
      <c r="G28" s="23">
        <v>1000.0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46173.0</v>
      </c>
      <c r="F29" s="16" t="s">
        <v>13</v>
      </c>
      <c r="G29" s="23">
        <v>208.0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46174.0</v>
      </c>
      <c r="F30" s="16" t="s">
        <v>13</v>
      </c>
      <c r="G30" s="23">
        <v>1927.0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46174.0</v>
      </c>
      <c r="F31" s="16" t="s">
        <v>13</v>
      </c>
      <c r="G31" s="23">
        <v>150.0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46175.0</v>
      </c>
      <c r="F32" s="16" t="s">
        <v>13</v>
      </c>
      <c r="G32" s="23">
        <v>340.0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46175.0</v>
      </c>
      <c r="F33" s="16" t="s">
        <v>11</v>
      </c>
      <c r="G33" s="23">
        <v>1330.0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46175.0</v>
      </c>
      <c r="F34" s="16" t="s">
        <v>40</v>
      </c>
      <c r="G34" s="23">
        <v>1915.0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46175.0</v>
      </c>
      <c r="F35" s="16" t="s">
        <v>17</v>
      </c>
      <c r="G35" s="23">
        <v>1000.0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46175.0</v>
      </c>
      <c r="F36" s="16" t="s">
        <v>16</v>
      </c>
      <c r="G36" s="23">
        <v>2359.0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46176.0</v>
      </c>
      <c r="F37" s="16" t="s">
        <v>16</v>
      </c>
      <c r="G37" s="23">
        <v>2526.0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46176.0</v>
      </c>
      <c r="F38" s="16" t="s">
        <v>40</v>
      </c>
      <c r="G38" s="23">
        <v>2000.0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46177.0</v>
      </c>
      <c r="F39" s="16" t="s">
        <v>17</v>
      </c>
      <c r="G39" s="23">
        <v>1000.0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162754</v>
      </c>
      <c r="D40" s="3"/>
      <c r="E40" s="15">
        <v>46177.0</v>
      </c>
      <c r="F40" s="16" t="s">
        <v>11</v>
      </c>
      <c r="G40" s="23">
        <v>1010.0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46177.0</v>
      </c>
      <c r="F41" s="16" t="s">
        <v>13</v>
      </c>
      <c r="G41" s="23">
        <v>748.0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46178.0</v>
      </c>
      <c r="F42" s="16" t="s">
        <v>13</v>
      </c>
      <c r="G42" s="23">
        <v>501.0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46178.0</v>
      </c>
      <c r="F43" s="16" t="s">
        <v>11</v>
      </c>
      <c r="G43" s="23">
        <v>500.0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46178.0</v>
      </c>
      <c r="F44" s="16" t="s">
        <v>11</v>
      </c>
      <c r="G44" s="23">
        <v>590.0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46178.0</v>
      </c>
      <c r="F45" s="16" t="s">
        <v>17</v>
      </c>
      <c r="G45" s="23">
        <v>1000.0</v>
      </c>
      <c r="H45" s="18"/>
      <c r="I45" s="3"/>
      <c r="J45" s="69">
        <f>EDATE(B1,-1) + 24 + 0</f>
        <v>46167</v>
      </c>
      <c r="K45" s="70">
        <f>SUMIF(E5:E127,J45,G5:G127)</f>
        <v>4836</v>
      </c>
      <c r="L45" s="71">
        <f>K45</f>
        <v>4836</v>
      </c>
      <c r="M45" s="72">
        <f>(K4-C40-K13)/(K10-K9+1)</f>
        <v>7049.903226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46179.0</v>
      </c>
      <c r="F46" s="16" t="s">
        <v>17</v>
      </c>
      <c r="G46" s="23">
        <v>1000.0</v>
      </c>
      <c r="H46" s="18"/>
      <c r="I46" s="3"/>
      <c r="J46" s="75">
        <f t="shared" ref="J46:J75" si="3">J45 + 1</f>
        <v>46168</v>
      </c>
      <c r="K46" s="71">
        <f>SUMIF(E5:E127,J46,G5:G127)</f>
        <v>6224</v>
      </c>
      <c r="L46" s="76">
        <f t="shared" ref="L46:L75" si="4">SUM(L45,K46)</f>
        <v>11060</v>
      </c>
      <c r="M46" s="72">
        <f>M45*2</f>
        <v>14099.80645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46179.0</v>
      </c>
      <c r="F47" s="16" t="s">
        <v>11</v>
      </c>
      <c r="G47" s="23">
        <v>1260.0</v>
      </c>
      <c r="H47" s="18"/>
      <c r="I47" s="3"/>
      <c r="J47" s="75">
        <f t="shared" si="3"/>
        <v>46169</v>
      </c>
      <c r="K47" s="71">
        <f>SUMIF(E5:E127,J47,G5:G127)</f>
        <v>2240</v>
      </c>
      <c r="L47" s="76">
        <f t="shared" si="4"/>
        <v>13300</v>
      </c>
      <c r="M47" s="72">
        <f>M45*3</f>
        <v>21149.70968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46179.0</v>
      </c>
      <c r="F48" s="16" t="s">
        <v>40</v>
      </c>
      <c r="G48" s="23">
        <v>3400.0</v>
      </c>
      <c r="H48" s="18"/>
      <c r="I48" s="3"/>
      <c r="J48" s="75">
        <f t="shared" si="3"/>
        <v>46170</v>
      </c>
      <c r="K48" s="71">
        <f>SUMIF(E5:E127,J48,G5:G127)</f>
        <v>3520</v>
      </c>
      <c r="L48" s="76">
        <f t="shared" si="4"/>
        <v>16820</v>
      </c>
      <c r="M48" s="72">
        <f>M45*4</f>
        <v>28199.6129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46179.0</v>
      </c>
      <c r="F49" s="16" t="s">
        <v>16</v>
      </c>
      <c r="G49" s="23">
        <v>3005.0</v>
      </c>
      <c r="H49" s="18"/>
      <c r="I49" s="3"/>
      <c r="J49" s="75">
        <f t="shared" si="3"/>
        <v>46171</v>
      </c>
      <c r="K49" s="71">
        <f>SUMIF(E5:E127,J49,G5:G127)</f>
        <v>7553</v>
      </c>
      <c r="L49" s="76">
        <f t="shared" si="4"/>
        <v>24373</v>
      </c>
      <c r="M49" s="72">
        <f>M45*5</f>
        <v>35249.51613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46180.0</v>
      </c>
      <c r="F50" s="16" t="s">
        <v>11</v>
      </c>
      <c r="G50" s="23">
        <v>2220.0</v>
      </c>
      <c r="H50" s="18"/>
      <c r="I50" s="3"/>
      <c r="J50" s="75">
        <f t="shared" si="3"/>
        <v>46172</v>
      </c>
      <c r="K50" s="71">
        <f>SUMIF(E5:E127,J50,G5:G127)</f>
        <v>4780</v>
      </c>
      <c r="L50" s="76">
        <f t="shared" si="4"/>
        <v>29153</v>
      </c>
      <c r="M50" s="72">
        <f>M45*6</f>
        <v>42299.41935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46180.0</v>
      </c>
      <c r="F51" s="16" t="s">
        <v>11</v>
      </c>
      <c r="G51" s="23">
        <v>1080.0</v>
      </c>
      <c r="H51" s="18"/>
      <c r="I51" s="3"/>
      <c r="J51" s="75">
        <f t="shared" si="3"/>
        <v>46173</v>
      </c>
      <c r="K51" s="71">
        <f>SUMIF(E5:E127,J51,G5:G127)</f>
        <v>6065</v>
      </c>
      <c r="L51" s="76">
        <f t="shared" si="4"/>
        <v>35218</v>
      </c>
      <c r="M51" s="72">
        <f>M45*7</f>
        <v>49349.32258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46180.0</v>
      </c>
      <c r="F52" s="16" t="s">
        <v>17</v>
      </c>
      <c r="G52" s="23">
        <v>1000.0</v>
      </c>
      <c r="H52" s="23"/>
      <c r="I52" s="3"/>
      <c r="J52" s="75">
        <f t="shared" si="3"/>
        <v>46174</v>
      </c>
      <c r="K52" s="71">
        <f>SUMIF(E5:E127,J52,G5:G127)</f>
        <v>2077</v>
      </c>
      <c r="L52" s="76">
        <f t="shared" si="4"/>
        <v>37295</v>
      </c>
      <c r="M52" s="72">
        <f>M45*8</f>
        <v>56399.22581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46181.0</v>
      </c>
      <c r="F53" s="16" t="s">
        <v>16</v>
      </c>
      <c r="G53" s="23">
        <v>999.0</v>
      </c>
      <c r="H53" s="18"/>
      <c r="I53" s="3"/>
      <c r="J53" s="75">
        <f t="shared" si="3"/>
        <v>46175</v>
      </c>
      <c r="K53" s="71">
        <f>SUMIF(E5:E127,J53,G5:G127)</f>
        <v>6944</v>
      </c>
      <c r="L53" s="76">
        <f t="shared" si="4"/>
        <v>44239</v>
      </c>
      <c r="M53" s="72">
        <f>M45*9</f>
        <v>63449.12903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46181.0</v>
      </c>
      <c r="F54" s="16" t="s">
        <v>11</v>
      </c>
      <c r="G54" s="23">
        <v>2460.0</v>
      </c>
      <c r="H54" s="18"/>
      <c r="I54" s="3"/>
      <c r="J54" s="75">
        <f t="shared" si="3"/>
        <v>46176</v>
      </c>
      <c r="K54" s="71">
        <f>SUMIF(E5:E127,J54,G5:G127)</f>
        <v>4526</v>
      </c>
      <c r="L54" s="76">
        <f t="shared" si="4"/>
        <v>48765</v>
      </c>
      <c r="M54" s="72">
        <f>M45*10</f>
        <v>70499.03226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46181.0</v>
      </c>
      <c r="F55" s="16" t="s">
        <v>11</v>
      </c>
      <c r="G55" s="23">
        <v>760.0</v>
      </c>
      <c r="H55" s="18"/>
      <c r="I55" s="3"/>
      <c r="J55" s="75">
        <f t="shared" si="3"/>
        <v>46177</v>
      </c>
      <c r="K55" s="71">
        <f>SUMIF(E5:E127,J55,G5:G127)</f>
        <v>2758</v>
      </c>
      <c r="L55" s="76">
        <f t="shared" si="4"/>
        <v>51523</v>
      </c>
      <c r="M55" s="72">
        <f>M45*11</f>
        <v>77548.93548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46181.0</v>
      </c>
      <c r="F56" s="16" t="s">
        <v>13</v>
      </c>
      <c r="G56" s="23">
        <v>1410.0</v>
      </c>
      <c r="H56" s="18"/>
      <c r="I56" s="3"/>
      <c r="J56" s="75">
        <f t="shared" si="3"/>
        <v>46178</v>
      </c>
      <c r="K56" s="71">
        <f>SUMIF(E5:E127,J56,G5:G127)</f>
        <v>2591</v>
      </c>
      <c r="L56" s="76">
        <f t="shared" si="4"/>
        <v>54114</v>
      </c>
      <c r="M56" s="72">
        <f>M45*12</f>
        <v>84598.83871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46182.0</v>
      </c>
      <c r="F57" s="16" t="s">
        <v>11</v>
      </c>
      <c r="G57" s="23">
        <v>1810.0</v>
      </c>
      <c r="H57" s="18"/>
      <c r="I57" s="3"/>
      <c r="J57" s="75">
        <f t="shared" si="3"/>
        <v>46179</v>
      </c>
      <c r="K57" s="71">
        <f>SUMIF(E5:E127,J57,G5:G127)</f>
        <v>8665</v>
      </c>
      <c r="L57" s="76">
        <f t="shared" si="4"/>
        <v>62779</v>
      </c>
      <c r="M57" s="72">
        <f>M45*13</f>
        <v>91648.74194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46182.0</v>
      </c>
      <c r="F58" s="16" t="s">
        <v>16</v>
      </c>
      <c r="G58" s="23">
        <v>952.0</v>
      </c>
      <c r="H58" s="18"/>
      <c r="I58" s="3"/>
      <c r="J58" s="75">
        <f t="shared" si="3"/>
        <v>46180</v>
      </c>
      <c r="K58" s="71">
        <f>SUMIF(E5:E127,J58,G5:G127)</f>
        <v>4300</v>
      </c>
      <c r="L58" s="76">
        <f t="shared" si="4"/>
        <v>67079</v>
      </c>
      <c r="M58" s="72">
        <f>M45*14</f>
        <v>98698.64516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46183.0</v>
      </c>
      <c r="F59" s="16" t="s">
        <v>16</v>
      </c>
      <c r="G59" s="23">
        <v>1080.0</v>
      </c>
      <c r="H59" s="18"/>
      <c r="I59" s="3"/>
      <c r="J59" s="75">
        <f t="shared" si="3"/>
        <v>46181</v>
      </c>
      <c r="K59" s="71">
        <f>SUMIF(E5:E127,J59,G5:G127)</f>
        <v>5629</v>
      </c>
      <c r="L59" s="76">
        <f t="shared" si="4"/>
        <v>72708</v>
      </c>
      <c r="M59" s="72">
        <f>M45*15</f>
        <v>105748.5484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46183.0</v>
      </c>
      <c r="F60" s="16" t="s">
        <v>11</v>
      </c>
      <c r="G60" s="23">
        <v>690.0</v>
      </c>
      <c r="H60" s="18"/>
      <c r="I60" s="3"/>
      <c r="J60" s="75">
        <f t="shared" si="3"/>
        <v>46182</v>
      </c>
      <c r="K60" s="71">
        <f>SUMIF(E5:E127,J60,G5:G127)</f>
        <v>2762</v>
      </c>
      <c r="L60" s="76">
        <f t="shared" si="4"/>
        <v>75470</v>
      </c>
      <c r="M60" s="72">
        <f>M45*16</f>
        <v>112798.4516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46183.0</v>
      </c>
      <c r="F61" s="16" t="s">
        <v>17</v>
      </c>
      <c r="G61" s="23">
        <v>1000.0</v>
      </c>
      <c r="H61" s="18"/>
      <c r="I61" s="3"/>
      <c r="J61" s="75">
        <f t="shared" si="3"/>
        <v>46183</v>
      </c>
      <c r="K61" s="71">
        <f>SUMIF(E5:E127,J61,G5:G127)</f>
        <v>5006</v>
      </c>
      <c r="L61" s="76">
        <f t="shared" si="4"/>
        <v>80476</v>
      </c>
      <c r="M61" s="72">
        <f>M45*17</f>
        <v>119848.3548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46183.0</v>
      </c>
      <c r="F62" s="16" t="s">
        <v>13</v>
      </c>
      <c r="G62" s="23">
        <v>321.0</v>
      </c>
      <c r="H62" s="18"/>
      <c r="I62" s="3"/>
      <c r="J62" s="75">
        <f t="shared" si="3"/>
        <v>46184</v>
      </c>
      <c r="K62" s="71">
        <f>SUMIF(E5:E127,J62,G5:G127)</f>
        <v>1038</v>
      </c>
      <c r="L62" s="76">
        <f t="shared" si="4"/>
        <v>81514</v>
      </c>
      <c r="M62" s="72">
        <f>M45*18</f>
        <v>126898.2581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46183.0</v>
      </c>
      <c r="F63" s="16" t="s">
        <v>40</v>
      </c>
      <c r="G63" s="23">
        <v>1915.0</v>
      </c>
      <c r="H63" s="23"/>
      <c r="I63" s="3"/>
      <c r="J63" s="75">
        <f t="shared" si="3"/>
        <v>46185</v>
      </c>
      <c r="K63" s="71">
        <f>SUMIF(E5:E127,J63,G5:G127)</f>
        <v>6350</v>
      </c>
      <c r="L63" s="76">
        <f t="shared" si="4"/>
        <v>87864</v>
      </c>
      <c r="M63" s="72">
        <f>M45*19</f>
        <v>133948.1613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46184.0</v>
      </c>
      <c r="F64" s="16" t="s">
        <v>13</v>
      </c>
      <c r="G64" s="23">
        <v>240.0</v>
      </c>
      <c r="H64" s="18"/>
      <c r="I64" s="3"/>
      <c r="J64" s="75">
        <f t="shared" si="3"/>
        <v>46186</v>
      </c>
      <c r="K64" s="71">
        <f>SUMIF(E5:E127,J64,G5:G127)</f>
        <v>1900</v>
      </c>
      <c r="L64" s="76">
        <f t="shared" si="4"/>
        <v>89764</v>
      </c>
      <c r="M64" s="72">
        <f>M45*20</f>
        <v>140998.0645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46184.0</v>
      </c>
      <c r="F65" s="16" t="s">
        <v>13</v>
      </c>
      <c r="G65" s="23">
        <v>500.0</v>
      </c>
      <c r="H65" s="23"/>
      <c r="I65" s="3"/>
      <c r="J65" s="75">
        <f t="shared" si="3"/>
        <v>46187</v>
      </c>
      <c r="K65" s="71">
        <f>SUMIF(E5:E127,J65,G5:G127)</f>
        <v>6584</v>
      </c>
      <c r="L65" s="76">
        <f t="shared" si="4"/>
        <v>96348</v>
      </c>
      <c r="M65" s="72">
        <f>M45*21</f>
        <v>148047.9677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46184.0</v>
      </c>
      <c r="F66" s="16" t="s">
        <v>13</v>
      </c>
      <c r="G66" s="23">
        <v>298.0</v>
      </c>
      <c r="H66" s="18"/>
      <c r="I66" s="3"/>
      <c r="J66" s="75">
        <f t="shared" si="3"/>
        <v>46188</v>
      </c>
      <c r="K66" s="71">
        <f>SUMIF(E5:E127,J66,G5:G127)</f>
        <v>5058</v>
      </c>
      <c r="L66" s="76">
        <f t="shared" si="4"/>
        <v>101406</v>
      </c>
      <c r="M66" s="72">
        <f>M45*22</f>
        <v>155097.871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46185.0</v>
      </c>
      <c r="F67" s="16" t="s">
        <v>11</v>
      </c>
      <c r="G67" s="23">
        <v>1150.0</v>
      </c>
      <c r="H67" s="18"/>
      <c r="I67" s="3"/>
      <c r="J67" s="75">
        <f t="shared" si="3"/>
        <v>46189</v>
      </c>
      <c r="K67" s="71">
        <f>SUMIF(E5:E127,J67,G5:G127)</f>
        <v>10075</v>
      </c>
      <c r="L67" s="76">
        <f t="shared" si="4"/>
        <v>111481</v>
      </c>
      <c r="M67" s="72">
        <f>M45*23</f>
        <v>162147.7742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46185.0</v>
      </c>
      <c r="F68" s="16" t="s">
        <v>11</v>
      </c>
      <c r="G68" s="23">
        <v>5200.0</v>
      </c>
      <c r="H68" s="18"/>
      <c r="I68" s="3"/>
      <c r="J68" s="75">
        <f t="shared" si="3"/>
        <v>46190</v>
      </c>
      <c r="K68" s="71">
        <f>SUMIF(E5:E127,J68,G5:G127)</f>
        <v>7175</v>
      </c>
      <c r="L68" s="76">
        <f t="shared" si="4"/>
        <v>118656</v>
      </c>
      <c r="M68" s="72">
        <f>M45*24</f>
        <v>169197.6774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46186.0</v>
      </c>
      <c r="F69" s="16" t="s">
        <v>13</v>
      </c>
      <c r="G69" s="23">
        <v>300.0</v>
      </c>
      <c r="H69" s="18"/>
      <c r="I69" s="3"/>
      <c r="J69" s="75">
        <f t="shared" si="3"/>
        <v>46191</v>
      </c>
      <c r="K69" s="71">
        <f>SUMIF(E5:E127,J69,G5:G127)</f>
        <v>5615</v>
      </c>
      <c r="L69" s="76">
        <f t="shared" si="4"/>
        <v>124271</v>
      </c>
      <c r="M69" s="72">
        <f>M45*25</f>
        <v>176247.5806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46186.0</v>
      </c>
      <c r="F70" s="16" t="s">
        <v>17</v>
      </c>
      <c r="G70" s="23">
        <v>1000.0</v>
      </c>
      <c r="H70" s="23"/>
      <c r="I70" s="3"/>
      <c r="J70" s="75">
        <f t="shared" si="3"/>
        <v>46192</v>
      </c>
      <c r="K70" s="71">
        <f>SUMIF(E5:E127,J70,G5:G127)</f>
        <v>4873</v>
      </c>
      <c r="L70" s="76">
        <f t="shared" si="4"/>
        <v>129144</v>
      </c>
      <c r="M70" s="72">
        <f>M45*26</f>
        <v>183297.4839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46186.0</v>
      </c>
      <c r="F71" s="16" t="s">
        <v>40</v>
      </c>
      <c r="G71" s="23">
        <v>600.0</v>
      </c>
      <c r="H71" s="18"/>
      <c r="I71" s="3"/>
      <c r="J71" s="75">
        <f t="shared" si="3"/>
        <v>46193</v>
      </c>
      <c r="K71" s="71">
        <f>SUMIF(E5:E127,J71,G5:G127)</f>
        <v>9766</v>
      </c>
      <c r="L71" s="76">
        <f t="shared" si="4"/>
        <v>138910</v>
      </c>
      <c r="M71" s="72">
        <f>M45*27</f>
        <v>190347.3871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46187.0</v>
      </c>
      <c r="F72" s="16" t="s">
        <v>16</v>
      </c>
      <c r="G72" s="23">
        <v>4669.0</v>
      </c>
      <c r="H72" s="18"/>
      <c r="I72" s="3"/>
      <c r="J72" s="75">
        <f t="shared" si="3"/>
        <v>46194</v>
      </c>
      <c r="K72" s="71">
        <f>SUMIF(E5:E127,J72,G5:G127)</f>
        <v>6464</v>
      </c>
      <c r="L72" s="76">
        <f t="shared" si="4"/>
        <v>145374</v>
      </c>
      <c r="M72" s="72">
        <f>M45*28</f>
        <v>197397.2903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46187.0</v>
      </c>
      <c r="F73" s="16" t="s">
        <v>40</v>
      </c>
      <c r="G73" s="23">
        <v>1915.0</v>
      </c>
      <c r="H73" s="18"/>
      <c r="I73" s="3"/>
      <c r="J73" s="75">
        <f t="shared" si="3"/>
        <v>46195</v>
      </c>
      <c r="K73" s="71">
        <f>SUMIF(E5:E127,J73,G5:G127)</f>
        <v>12357</v>
      </c>
      <c r="L73" s="76">
        <f t="shared" si="4"/>
        <v>157731</v>
      </c>
      <c r="M73" s="72">
        <f>M45*29</f>
        <v>204447.1935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46188.0</v>
      </c>
      <c r="F74" s="16" t="s">
        <v>11</v>
      </c>
      <c r="G74" s="23">
        <v>1920.0</v>
      </c>
      <c r="H74" s="18"/>
      <c r="I74" s="3"/>
      <c r="J74" s="75">
        <f t="shared" si="3"/>
        <v>46196</v>
      </c>
      <c r="K74" s="71">
        <f>SUMIF(E5:E127,J74,G5:G127)</f>
        <v>5811</v>
      </c>
      <c r="L74" s="76">
        <f t="shared" si="4"/>
        <v>163542</v>
      </c>
      <c r="M74" s="72">
        <f>M45*30</f>
        <v>211497.0968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46188.0</v>
      </c>
      <c r="F75" s="16" t="s">
        <v>17</v>
      </c>
      <c r="G75" s="23">
        <v>1000.0</v>
      </c>
      <c r="H75" s="18"/>
      <c r="I75" s="3"/>
      <c r="J75" s="75">
        <f t="shared" si="3"/>
        <v>46197</v>
      </c>
      <c r="K75" s="71">
        <f>SUMIF(E5:E127,J75,G5:G127)</f>
        <v>18385</v>
      </c>
      <c r="L75" s="76">
        <f t="shared" si="4"/>
        <v>181927</v>
      </c>
      <c r="M75" s="72">
        <f>M45*31</f>
        <v>218547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46188.0</v>
      </c>
      <c r="F76" s="16" t="s">
        <v>16</v>
      </c>
      <c r="G76" s="23">
        <v>2138.0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46189.0</v>
      </c>
      <c r="F77" s="16" t="s">
        <v>11</v>
      </c>
      <c r="G77" s="23">
        <v>1190.0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46189.0</v>
      </c>
      <c r="F78" s="16" t="s">
        <v>11</v>
      </c>
      <c r="G78" s="23">
        <v>780.0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46189.0</v>
      </c>
      <c r="F79" s="16" t="s">
        <v>16</v>
      </c>
      <c r="G79" s="23">
        <v>4105.0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46189.0</v>
      </c>
      <c r="F80" s="16" t="s">
        <v>9</v>
      </c>
      <c r="G80" s="23">
        <v>4000.0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46190.0</v>
      </c>
      <c r="F81" s="16" t="s">
        <v>11</v>
      </c>
      <c r="G81" s="23">
        <v>1430.0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46190.0</v>
      </c>
      <c r="F82" s="16" t="s">
        <v>11</v>
      </c>
      <c r="G82" s="23">
        <v>3830.0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46190.0</v>
      </c>
      <c r="F83" s="16" t="s">
        <v>40</v>
      </c>
      <c r="G83" s="23">
        <v>1915.0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46191.0</v>
      </c>
      <c r="F84" s="16" t="s">
        <v>17</v>
      </c>
      <c r="G84" s="23">
        <v>1000.0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46191.0</v>
      </c>
      <c r="F85" s="16" t="s">
        <v>11</v>
      </c>
      <c r="G85" s="23">
        <v>690.0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46191.0</v>
      </c>
      <c r="F86" s="16" t="s">
        <v>11</v>
      </c>
      <c r="G86" s="23">
        <v>1010.0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46191.0</v>
      </c>
      <c r="F87" s="16" t="s">
        <v>17</v>
      </c>
      <c r="G87" s="23">
        <v>1000.0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>
        <v>46191.0</v>
      </c>
      <c r="F88" s="16" t="s">
        <v>40</v>
      </c>
      <c r="G88" s="23">
        <v>1915.0</v>
      </c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>
        <v>46192.0</v>
      </c>
      <c r="F89" s="16" t="s">
        <v>9</v>
      </c>
      <c r="G89" s="23">
        <v>4873.0</v>
      </c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>
        <v>46193.0</v>
      </c>
      <c r="F90" s="16" t="s">
        <v>11</v>
      </c>
      <c r="G90" s="23">
        <v>690.0</v>
      </c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>
        <v>46193.0</v>
      </c>
      <c r="F91" s="16" t="s">
        <v>11</v>
      </c>
      <c r="G91" s="23">
        <v>540.0</v>
      </c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>
        <v>46193.0</v>
      </c>
      <c r="F92" s="16" t="s">
        <v>40</v>
      </c>
      <c r="G92" s="23">
        <v>2651.0</v>
      </c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>
        <v>46193.0</v>
      </c>
      <c r="F93" s="16" t="s">
        <v>13</v>
      </c>
      <c r="G93" s="23">
        <v>1516.0</v>
      </c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>
        <v>46193.0</v>
      </c>
      <c r="F94" s="16" t="s">
        <v>11</v>
      </c>
      <c r="G94" s="23">
        <v>1020.0</v>
      </c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>
        <v>46193.0</v>
      </c>
      <c r="F95" s="16" t="s">
        <v>11</v>
      </c>
      <c r="G95" s="23">
        <v>2849.0</v>
      </c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>
        <v>46193.0</v>
      </c>
      <c r="F96" s="16" t="s">
        <v>17</v>
      </c>
      <c r="G96" s="23">
        <v>500.0</v>
      </c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>
        <v>46194.0</v>
      </c>
      <c r="F97" s="16" t="s">
        <v>16</v>
      </c>
      <c r="G97" s="23">
        <v>2247.0</v>
      </c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>
        <v>46194.0</v>
      </c>
      <c r="F98" s="16" t="s">
        <v>40</v>
      </c>
      <c r="G98" s="23">
        <v>566.0</v>
      </c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>
        <v>46194.0</v>
      </c>
      <c r="F99" s="16" t="s">
        <v>16</v>
      </c>
      <c r="G99" s="23">
        <v>3651.0</v>
      </c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>
        <v>46195.0</v>
      </c>
      <c r="F100" s="16" t="s">
        <v>13</v>
      </c>
      <c r="G100" s="23">
        <v>617.0</v>
      </c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>
        <v>46195.0</v>
      </c>
      <c r="F101" s="16" t="s">
        <v>41</v>
      </c>
      <c r="G101" s="23">
        <v>8250.0</v>
      </c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>
        <v>46195.0</v>
      </c>
      <c r="F102" s="16" t="s">
        <v>11</v>
      </c>
      <c r="G102" s="23">
        <v>1190.0</v>
      </c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>
        <v>46195.0</v>
      </c>
      <c r="F103" s="16" t="s">
        <v>40</v>
      </c>
      <c r="G103" s="23">
        <v>2300.0</v>
      </c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>
        <v>46196.0</v>
      </c>
      <c r="F104" s="16" t="s">
        <v>17</v>
      </c>
      <c r="G104" s="23">
        <v>2000.0</v>
      </c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>
        <v>46196.0</v>
      </c>
      <c r="F105" s="16" t="s">
        <v>11</v>
      </c>
      <c r="G105" s="23">
        <v>400.0</v>
      </c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>
        <v>46196.0</v>
      </c>
      <c r="F106" s="16" t="s">
        <v>17</v>
      </c>
      <c r="G106" s="23">
        <v>2000.0</v>
      </c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>
        <v>46196.0</v>
      </c>
      <c r="F107" s="16" t="s">
        <v>13</v>
      </c>
      <c r="G107" s="23">
        <v>390.0</v>
      </c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>
        <v>46196.0</v>
      </c>
      <c r="F108" s="16" t="s">
        <v>13</v>
      </c>
      <c r="G108" s="23">
        <v>230.0</v>
      </c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>
        <v>46196.0</v>
      </c>
      <c r="F109" s="16" t="s">
        <v>16</v>
      </c>
      <c r="G109" s="23">
        <v>791.0</v>
      </c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>
        <v>46197.0</v>
      </c>
      <c r="F110" s="16" t="s">
        <v>40</v>
      </c>
      <c r="G110" s="23">
        <v>3800.0</v>
      </c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15">
        <v>46197.0</v>
      </c>
      <c r="F111" s="16" t="s">
        <v>11</v>
      </c>
      <c r="G111" s="23">
        <v>4290.0</v>
      </c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15">
        <v>46197.0</v>
      </c>
      <c r="F112" s="16" t="s">
        <v>40</v>
      </c>
      <c r="G112" s="23">
        <v>1000.0</v>
      </c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15">
        <v>46197.0</v>
      </c>
      <c r="F113" s="16" t="s">
        <v>16</v>
      </c>
      <c r="G113" s="23">
        <v>580.0</v>
      </c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15">
        <v>46197.0</v>
      </c>
      <c r="F114" s="16" t="s">
        <v>17</v>
      </c>
      <c r="G114" s="23">
        <v>3000.0</v>
      </c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15">
        <v>46197.0</v>
      </c>
      <c r="F115" s="16" t="s">
        <v>17</v>
      </c>
      <c r="G115" s="23">
        <v>2400.0</v>
      </c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15">
        <v>46197.0</v>
      </c>
      <c r="F116" s="16" t="s">
        <v>11</v>
      </c>
      <c r="G116" s="23">
        <v>3315.0</v>
      </c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23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79"/>
      <c r="G125" s="23"/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79"/>
      <c r="G126" s="18"/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79"/>
      <c r="G127" s="23">
        <v>12717.0</v>
      </c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194644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E5:E127">
      <formula1>'26Jun'!$J$45:$J$75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46204.0</v>
      </c>
      <c r="D1" s="3"/>
      <c r="E1" s="3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711461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711461.0</v>
      </c>
      <c r="D5" s="3"/>
      <c r="E5" s="15">
        <v>46198.0</v>
      </c>
      <c r="F5" s="16" t="s">
        <v>17</v>
      </c>
      <c r="G5" s="17">
        <v>1000.0</v>
      </c>
      <c r="H5" s="18"/>
      <c r="I5" s="3"/>
      <c r="J5" s="19" t="s">
        <v>10</v>
      </c>
      <c r="K5" s="20">
        <f>G128+C40</f>
        <v>303908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46198.0</v>
      </c>
      <c r="F6" s="16" t="s">
        <v>11</v>
      </c>
      <c r="G6" s="23">
        <v>2060.0</v>
      </c>
      <c r="H6" s="18"/>
      <c r="I6" s="3"/>
      <c r="J6" s="24" t="s">
        <v>12</v>
      </c>
      <c r="K6" s="25">
        <f>K4-K5</f>
        <v>407553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46199.0</v>
      </c>
      <c r="F7" s="16" t="s">
        <v>16</v>
      </c>
      <c r="G7" s="23">
        <v>1577.0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46200.0</v>
      </c>
      <c r="F8" s="16" t="s">
        <v>17</v>
      </c>
      <c r="G8" s="23">
        <v>1000.0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46201.0</v>
      </c>
      <c r="F9" s="16" t="s">
        <v>16</v>
      </c>
      <c r="G9" s="23">
        <v>1701.0</v>
      </c>
      <c r="H9" s="18"/>
      <c r="I9" s="3"/>
      <c r="J9" s="28" t="s">
        <v>18</v>
      </c>
      <c r="K9" s="29">
        <f>EDATE(B1,-1) + 24</f>
        <v>46198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46201.0</v>
      </c>
      <c r="F10" s="16" t="s">
        <v>16</v>
      </c>
      <c r="G10" s="23">
        <v>1099.0</v>
      </c>
      <c r="H10" s="23"/>
      <c r="I10" s="3"/>
      <c r="J10" s="28" t="s">
        <v>19</v>
      </c>
      <c r="K10" s="31">
        <f>EDATE(B1,0) + 23</f>
        <v>46227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46202.0</v>
      </c>
      <c r="F11" s="16" t="s">
        <v>11</v>
      </c>
      <c r="G11" s="23">
        <v>5775.0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46202.0</v>
      </c>
      <c r="F12" s="16" t="s">
        <v>13</v>
      </c>
      <c r="G12" s="23">
        <v>150.0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46203.0</v>
      </c>
      <c r="F13" s="16" t="s">
        <v>11</v>
      </c>
      <c r="G13" s="23">
        <v>1330.0</v>
      </c>
      <c r="H13" s="18"/>
      <c r="I13" s="3"/>
      <c r="J13" s="33" t="s">
        <v>22</v>
      </c>
      <c r="K13" s="84">
        <v>400000.0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711461</v>
      </c>
      <c r="D14" s="3"/>
      <c r="E14" s="15">
        <v>46203.0</v>
      </c>
      <c r="F14" s="16" t="s">
        <v>16</v>
      </c>
      <c r="G14" s="23">
        <v>1581.0</v>
      </c>
      <c r="H14" s="18"/>
      <c r="I14" s="3"/>
      <c r="J14" s="37" t="s">
        <v>24</v>
      </c>
      <c r="K14" s="38">
        <f>K6-K13</f>
        <v>7553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46204.0</v>
      </c>
      <c r="F15" s="16" t="s">
        <v>17</v>
      </c>
      <c r="G15" s="23">
        <v>1000.0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46204.0</v>
      </c>
      <c r="F16" s="16" t="s">
        <v>11</v>
      </c>
      <c r="G16" s="23">
        <v>3270.0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46204.0</v>
      </c>
      <c r="F17" s="16" t="s">
        <v>17</v>
      </c>
      <c r="G17" s="23">
        <v>1000.0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46205.0</v>
      </c>
      <c r="F18" s="16" t="s">
        <v>11</v>
      </c>
      <c r="G18" s="23">
        <v>1400.0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46205.0</v>
      </c>
      <c r="F19" s="16" t="s">
        <v>17</v>
      </c>
      <c r="G19" s="23">
        <v>1000.0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52">
        <v>540.0</v>
      </c>
      <c r="D20" s="3"/>
      <c r="E20" s="15">
        <v>46206.0</v>
      </c>
      <c r="F20" s="16" t="s">
        <v>11</v>
      </c>
      <c r="G20" s="23">
        <v>650.0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46206.0</v>
      </c>
      <c r="F21" s="16" t="s">
        <v>13</v>
      </c>
      <c r="G21" s="23">
        <v>550.0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46206.0</v>
      </c>
      <c r="F22" s="16" t="s">
        <v>17</v>
      </c>
      <c r="G22" s="23">
        <v>1000.0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46207.0</v>
      </c>
      <c r="F23" s="16" t="s">
        <v>17</v>
      </c>
      <c r="G23" s="23">
        <v>1000.0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13127.0</v>
      </c>
      <c r="D24" s="3"/>
      <c r="E24" s="15">
        <v>46207.0</v>
      </c>
      <c r="F24" s="16" t="s">
        <v>28</v>
      </c>
      <c r="G24" s="23">
        <v>4980.0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46207.0</v>
      </c>
      <c r="F25" s="16" t="s">
        <v>14</v>
      </c>
      <c r="G25" s="53">
        <v>1349.0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46208.0</v>
      </c>
      <c r="F26" s="16" t="s">
        <v>11</v>
      </c>
      <c r="G26" s="23">
        <v>1120.0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46208.0</v>
      </c>
      <c r="F27" s="16" t="s">
        <v>17</v>
      </c>
      <c r="G27" s="23">
        <v>1000.0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46208.0</v>
      </c>
      <c r="F28" s="16" t="s">
        <v>16</v>
      </c>
      <c r="G28" s="23">
        <v>1816.0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46209.0</v>
      </c>
      <c r="F29" s="16" t="s">
        <v>11</v>
      </c>
      <c r="G29" s="23">
        <v>3298.0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46209.0</v>
      </c>
      <c r="F30" s="16" t="s">
        <v>17</v>
      </c>
      <c r="G30" s="23">
        <v>1000.0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46210.0</v>
      </c>
      <c r="F31" s="16" t="s">
        <v>16</v>
      </c>
      <c r="G31" s="23">
        <v>2187.0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46210.0</v>
      </c>
      <c r="F32" s="16" t="s">
        <v>16</v>
      </c>
      <c r="G32" s="23">
        <v>515.0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46211.0</v>
      </c>
      <c r="F33" s="16" t="s">
        <v>13</v>
      </c>
      <c r="G33" s="23">
        <v>230.0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46211.0</v>
      </c>
      <c r="F34" s="16" t="s">
        <v>16</v>
      </c>
      <c r="G34" s="23">
        <v>736.0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46212.0</v>
      </c>
      <c r="F35" s="16" t="s">
        <v>17</v>
      </c>
      <c r="G35" s="23">
        <v>1000.0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46212.0</v>
      </c>
      <c r="F36" s="16" t="s">
        <v>11</v>
      </c>
      <c r="G36" s="23">
        <v>2350.0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46212.0</v>
      </c>
      <c r="F37" s="16" t="s">
        <v>17</v>
      </c>
      <c r="G37" s="23">
        <v>200.0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46213.0</v>
      </c>
      <c r="F38" s="16" t="s">
        <v>11</v>
      </c>
      <c r="G38" s="23">
        <v>2660.0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46213.0</v>
      </c>
      <c r="F39" s="16" t="s">
        <v>16</v>
      </c>
      <c r="G39" s="23">
        <v>1236.0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162844</v>
      </c>
      <c r="D40" s="3"/>
      <c r="E40" s="15">
        <v>46213.0</v>
      </c>
      <c r="F40" s="16" t="s">
        <v>11</v>
      </c>
      <c r="G40" s="23">
        <v>1749.0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46214.0</v>
      </c>
      <c r="F41" s="16" t="s">
        <v>17</v>
      </c>
      <c r="G41" s="23">
        <v>1000.0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46214.0</v>
      </c>
      <c r="F42" s="16" t="s">
        <v>11</v>
      </c>
      <c r="G42" s="23">
        <v>970.0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46214.0</v>
      </c>
      <c r="F43" s="16" t="s">
        <v>11</v>
      </c>
      <c r="G43" s="23">
        <v>4580.0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46214.0</v>
      </c>
      <c r="F44" s="16" t="s">
        <v>17</v>
      </c>
      <c r="G44" s="23">
        <v>1000.0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46214.0</v>
      </c>
      <c r="F45" s="16" t="s">
        <v>13</v>
      </c>
      <c r="G45" s="23">
        <v>195.0</v>
      </c>
      <c r="H45" s="18"/>
      <c r="I45" s="3"/>
      <c r="J45" s="69">
        <f>EDATE(B1,-1) + 24 + 0</f>
        <v>46198</v>
      </c>
      <c r="K45" s="70">
        <f>SUMIF(E5:E127,J45,G5:G127)</f>
        <v>3060</v>
      </c>
      <c r="L45" s="71">
        <f>K45</f>
        <v>3060</v>
      </c>
      <c r="M45" s="72">
        <f>(K4-C40-K13)/(K10-K9+1)</f>
        <v>4953.9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46215.0</v>
      </c>
      <c r="F46" s="16" t="s">
        <v>11</v>
      </c>
      <c r="G46" s="23">
        <v>930.0</v>
      </c>
      <c r="H46" s="18"/>
      <c r="I46" s="3"/>
      <c r="J46" s="75">
        <f t="shared" ref="J46:J75" si="3">J45 + 1</f>
        <v>46199</v>
      </c>
      <c r="K46" s="71">
        <f>SUMIF(E5:E127,J46,G5:G127)</f>
        <v>1577</v>
      </c>
      <c r="L46" s="76">
        <f t="shared" ref="L46:L75" si="4">SUM(L45,K46)</f>
        <v>4637</v>
      </c>
      <c r="M46" s="72">
        <f>M45*2</f>
        <v>9907.8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46215.0</v>
      </c>
      <c r="F47" s="16" t="s">
        <v>13</v>
      </c>
      <c r="G47" s="23">
        <v>170.0</v>
      </c>
      <c r="H47" s="18"/>
      <c r="I47" s="3"/>
      <c r="J47" s="75">
        <f t="shared" si="3"/>
        <v>46200</v>
      </c>
      <c r="K47" s="71">
        <f>SUMIF(E5:E127,J47,G5:G127)</f>
        <v>1000</v>
      </c>
      <c r="L47" s="76">
        <f t="shared" si="4"/>
        <v>5637</v>
      </c>
      <c r="M47" s="72">
        <f>M45*3</f>
        <v>14861.7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46215.0</v>
      </c>
      <c r="F48" s="16" t="s">
        <v>17</v>
      </c>
      <c r="G48" s="23">
        <v>2000.0</v>
      </c>
      <c r="H48" s="18"/>
      <c r="I48" s="3"/>
      <c r="J48" s="75">
        <f t="shared" si="3"/>
        <v>46201</v>
      </c>
      <c r="K48" s="71">
        <f>SUMIF(E5:E127,J48,G5:G127)</f>
        <v>2800</v>
      </c>
      <c r="L48" s="76">
        <f t="shared" si="4"/>
        <v>8437</v>
      </c>
      <c r="M48" s="72">
        <f>M45*4</f>
        <v>19815.6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46216.0</v>
      </c>
      <c r="F49" s="16" t="s">
        <v>13</v>
      </c>
      <c r="G49" s="23">
        <v>819.0</v>
      </c>
      <c r="H49" s="18"/>
      <c r="I49" s="3"/>
      <c r="J49" s="75">
        <f t="shared" si="3"/>
        <v>46202</v>
      </c>
      <c r="K49" s="71">
        <f>SUMIF(E5:E127,J49,G5:G127)</f>
        <v>5925</v>
      </c>
      <c r="L49" s="76">
        <f t="shared" si="4"/>
        <v>14362</v>
      </c>
      <c r="M49" s="72">
        <f>M45*5</f>
        <v>24769.5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46216.0</v>
      </c>
      <c r="F50" s="16" t="s">
        <v>13</v>
      </c>
      <c r="G50" s="23">
        <v>770.0</v>
      </c>
      <c r="H50" s="18"/>
      <c r="I50" s="3"/>
      <c r="J50" s="75">
        <f t="shared" si="3"/>
        <v>46203</v>
      </c>
      <c r="K50" s="71">
        <f>SUMIF(E5:E127,J50,G5:G127)</f>
        <v>2911</v>
      </c>
      <c r="L50" s="76">
        <f t="shared" si="4"/>
        <v>17273</v>
      </c>
      <c r="M50" s="72">
        <f>M45*6</f>
        <v>29723.4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46216.0</v>
      </c>
      <c r="F51" s="16" t="s">
        <v>13</v>
      </c>
      <c r="G51" s="23">
        <v>1326.0</v>
      </c>
      <c r="H51" s="18"/>
      <c r="I51" s="3"/>
      <c r="J51" s="75">
        <f t="shared" si="3"/>
        <v>46204</v>
      </c>
      <c r="K51" s="71">
        <f>SUMIF(E5:E127,J51,G5:G127)</f>
        <v>5270</v>
      </c>
      <c r="L51" s="76">
        <f t="shared" si="4"/>
        <v>22543</v>
      </c>
      <c r="M51" s="72">
        <f>M45*7</f>
        <v>34677.3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46217.0</v>
      </c>
      <c r="F52" s="16" t="s">
        <v>13</v>
      </c>
      <c r="G52" s="23">
        <v>821.0</v>
      </c>
      <c r="H52" s="23"/>
      <c r="I52" s="3"/>
      <c r="J52" s="75">
        <f t="shared" si="3"/>
        <v>46205</v>
      </c>
      <c r="K52" s="71">
        <f>SUMIF(E5:E127,J52,G5:G127)</f>
        <v>2400</v>
      </c>
      <c r="L52" s="76">
        <f t="shared" si="4"/>
        <v>24943</v>
      </c>
      <c r="M52" s="72">
        <f>M45*8</f>
        <v>39631.2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46217.0</v>
      </c>
      <c r="F53" s="16" t="s">
        <v>17</v>
      </c>
      <c r="G53" s="23">
        <v>1000.0</v>
      </c>
      <c r="H53" s="18"/>
      <c r="I53" s="3"/>
      <c r="J53" s="75">
        <f t="shared" si="3"/>
        <v>46206</v>
      </c>
      <c r="K53" s="71">
        <f>SUMIF(E5:E127,J53,G5:G127)</f>
        <v>2200</v>
      </c>
      <c r="L53" s="76">
        <f t="shared" si="4"/>
        <v>27143</v>
      </c>
      <c r="M53" s="72">
        <f>M45*9</f>
        <v>44585.1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46217.0</v>
      </c>
      <c r="F54" s="16" t="s">
        <v>13</v>
      </c>
      <c r="G54" s="23">
        <v>289.0</v>
      </c>
      <c r="H54" s="18"/>
      <c r="I54" s="3"/>
      <c r="J54" s="75">
        <f t="shared" si="3"/>
        <v>46207</v>
      </c>
      <c r="K54" s="71">
        <f>SUMIF(E5:E127,J54,G5:G127)</f>
        <v>7329</v>
      </c>
      <c r="L54" s="76">
        <f t="shared" si="4"/>
        <v>34472</v>
      </c>
      <c r="M54" s="72">
        <f>M45*10</f>
        <v>49539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46217.0</v>
      </c>
      <c r="F55" s="16" t="s">
        <v>16</v>
      </c>
      <c r="G55" s="23">
        <v>1733.0</v>
      </c>
      <c r="H55" s="18"/>
      <c r="I55" s="3"/>
      <c r="J55" s="75">
        <f t="shared" si="3"/>
        <v>46208</v>
      </c>
      <c r="K55" s="71">
        <f>SUMIF(E5:E127,J55,G5:G127)</f>
        <v>3936</v>
      </c>
      <c r="L55" s="76">
        <f t="shared" si="4"/>
        <v>38408</v>
      </c>
      <c r="M55" s="72">
        <f>M45*11</f>
        <v>54492.9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46218.0</v>
      </c>
      <c r="F56" s="16" t="s">
        <v>17</v>
      </c>
      <c r="G56" s="23">
        <v>1000.0</v>
      </c>
      <c r="H56" s="18"/>
      <c r="I56" s="3"/>
      <c r="J56" s="75">
        <f t="shared" si="3"/>
        <v>46209</v>
      </c>
      <c r="K56" s="71">
        <f>SUMIF(E5:E127,J56,G5:G127)</f>
        <v>4298</v>
      </c>
      <c r="L56" s="76">
        <f t="shared" si="4"/>
        <v>42706</v>
      </c>
      <c r="M56" s="72">
        <f>M45*12</f>
        <v>59446.8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46218.0</v>
      </c>
      <c r="F57" s="16" t="s">
        <v>13</v>
      </c>
      <c r="G57" s="23">
        <v>865.0</v>
      </c>
      <c r="H57" s="18"/>
      <c r="I57" s="3"/>
      <c r="J57" s="75">
        <f t="shared" si="3"/>
        <v>46210</v>
      </c>
      <c r="K57" s="71">
        <f>SUMIF(E5:E127,J57,G5:G127)</f>
        <v>2702</v>
      </c>
      <c r="L57" s="76">
        <f t="shared" si="4"/>
        <v>45408</v>
      </c>
      <c r="M57" s="72">
        <f>M45*13</f>
        <v>64400.7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46218.0</v>
      </c>
      <c r="F58" s="16" t="s">
        <v>11</v>
      </c>
      <c r="G58" s="23">
        <v>1850.0</v>
      </c>
      <c r="H58" s="18"/>
      <c r="I58" s="3"/>
      <c r="J58" s="75">
        <f t="shared" si="3"/>
        <v>46211</v>
      </c>
      <c r="K58" s="71">
        <f>SUMIF(E5:E127,J58,G5:G127)</f>
        <v>966</v>
      </c>
      <c r="L58" s="76">
        <f t="shared" si="4"/>
        <v>46374</v>
      </c>
      <c r="M58" s="72">
        <f>M45*14</f>
        <v>69354.6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46219.0</v>
      </c>
      <c r="F59" s="16" t="s">
        <v>13</v>
      </c>
      <c r="G59" s="23">
        <v>230.0</v>
      </c>
      <c r="H59" s="18"/>
      <c r="I59" s="3"/>
      <c r="J59" s="75">
        <f t="shared" si="3"/>
        <v>46212</v>
      </c>
      <c r="K59" s="71">
        <f>SUMIF(E5:E127,J59,G5:G127)</f>
        <v>3550</v>
      </c>
      <c r="L59" s="76">
        <f t="shared" si="4"/>
        <v>49924</v>
      </c>
      <c r="M59" s="72">
        <f>M45*15</f>
        <v>74308.5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46219.0</v>
      </c>
      <c r="F60" s="16" t="s">
        <v>16</v>
      </c>
      <c r="G60" s="23">
        <v>1098.0</v>
      </c>
      <c r="H60" s="18"/>
      <c r="I60" s="3"/>
      <c r="J60" s="75">
        <f t="shared" si="3"/>
        <v>46213</v>
      </c>
      <c r="K60" s="71">
        <f>SUMIF(E5:E127,J60,G5:G127)</f>
        <v>5645</v>
      </c>
      <c r="L60" s="76">
        <f t="shared" si="4"/>
        <v>55569</v>
      </c>
      <c r="M60" s="72">
        <f>M45*16</f>
        <v>79262.4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46219.0</v>
      </c>
      <c r="F61" s="16" t="s">
        <v>11</v>
      </c>
      <c r="G61" s="23">
        <v>2056.0</v>
      </c>
      <c r="H61" s="18"/>
      <c r="I61" s="3"/>
      <c r="J61" s="75">
        <f t="shared" si="3"/>
        <v>46214</v>
      </c>
      <c r="K61" s="71">
        <f>SUMIF(E5:E127,J61,G5:G127)</f>
        <v>7745</v>
      </c>
      <c r="L61" s="76">
        <f t="shared" si="4"/>
        <v>63314</v>
      </c>
      <c r="M61" s="72">
        <f>M45*17</f>
        <v>84216.3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46220.0</v>
      </c>
      <c r="F62" s="16" t="s">
        <v>17</v>
      </c>
      <c r="G62" s="23">
        <v>1000.0</v>
      </c>
      <c r="H62" s="18"/>
      <c r="I62" s="3"/>
      <c r="J62" s="75">
        <f t="shared" si="3"/>
        <v>46215</v>
      </c>
      <c r="K62" s="71">
        <f>SUMIF(E5:E127,J62,G5:G127)</f>
        <v>3100</v>
      </c>
      <c r="L62" s="76">
        <f t="shared" si="4"/>
        <v>66414</v>
      </c>
      <c r="M62" s="72">
        <f>M45*18</f>
        <v>89170.2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46220.0</v>
      </c>
      <c r="F63" s="16" t="s">
        <v>40</v>
      </c>
      <c r="G63" s="23">
        <v>160.0</v>
      </c>
      <c r="H63" s="23"/>
      <c r="I63" s="3"/>
      <c r="J63" s="75">
        <f t="shared" si="3"/>
        <v>46216</v>
      </c>
      <c r="K63" s="71">
        <f>SUMIF(E5:E127,J63,G5:G127)</f>
        <v>2915</v>
      </c>
      <c r="L63" s="76">
        <f t="shared" si="4"/>
        <v>69329</v>
      </c>
      <c r="M63" s="72">
        <f>M45*19</f>
        <v>94124.1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46221.0</v>
      </c>
      <c r="F64" s="16" t="s">
        <v>11</v>
      </c>
      <c r="G64" s="23">
        <v>570.0</v>
      </c>
      <c r="H64" s="18"/>
      <c r="I64" s="3"/>
      <c r="J64" s="75">
        <f t="shared" si="3"/>
        <v>46217</v>
      </c>
      <c r="K64" s="71">
        <f>SUMIF(E5:E127,J64,G5:G127)</f>
        <v>3843</v>
      </c>
      <c r="L64" s="76">
        <f t="shared" si="4"/>
        <v>73172</v>
      </c>
      <c r="M64" s="72">
        <f>M45*20</f>
        <v>99078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46221.0</v>
      </c>
      <c r="F65" s="16" t="s">
        <v>17</v>
      </c>
      <c r="G65" s="23">
        <v>1000.0</v>
      </c>
      <c r="H65" s="23"/>
      <c r="I65" s="3"/>
      <c r="J65" s="75">
        <f t="shared" si="3"/>
        <v>46218</v>
      </c>
      <c r="K65" s="71">
        <f>SUMIF(E5:E127,J65,G5:G127)</f>
        <v>3715</v>
      </c>
      <c r="L65" s="76">
        <f t="shared" si="4"/>
        <v>76887</v>
      </c>
      <c r="M65" s="72">
        <f>M45*21</f>
        <v>104031.9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46221.0</v>
      </c>
      <c r="F66" s="16" t="s">
        <v>16</v>
      </c>
      <c r="G66" s="23">
        <v>1353.0</v>
      </c>
      <c r="H66" s="18"/>
      <c r="I66" s="3"/>
      <c r="J66" s="75">
        <f t="shared" si="3"/>
        <v>46219</v>
      </c>
      <c r="K66" s="71">
        <f>SUMIF(E5:E127,J66,G5:G127)</f>
        <v>3384</v>
      </c>
      <c r="L66" s="76">
        <f t="shared" si="4"/>
        <v>80271</v>
      </c>
      <c r="M66" s="72">
        <f>M45*22</f>
        <v>108985.8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46222.0</v>
      </c>
      <c r="F67" s="16" t="s">
        <v>11</v>
      </c>
      <c r="G67" s="23">
        <v>6743.0</v>
      </c>
      <c r="H67" s="18"/>
      <c r="I67" s="3"/>
      <c r="J67" s="75">
        <f t="shared" si="3"/>
        <v>46220</v>
      </c>
      <c r="K67" s="71">
        <f>SUMIF(E5:E127,J67,G5:G127)</f>
        <v>1160</v>
      </c>
      <c r="L67" s="76">
        <f t="shared" si="4"/>
        <v>81431</v>
      </c>
      <c r="M67" s="72">
        <f>M45*23</f>
        <v>113939.7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46222.0</v>
      </c>
      <c r="F68" s="16" t="s">
        <v>17</v>
      </c>
      <c r="G68" s="23">
        <v>1000.0</v>
      </c>
      <c r="H68" s="18"/>
      <c r="I68" s="3"/>
      <c r="J68" s="75">
        <f t="shared" si="3"/>
        <v>46221</v>
      </c>
      <c r="K68" s="71">
        <f>SUMIF(E5:E127,J68,G5:G127)</f>
        <v>2923</v>
      </c>
      <c r="L68" s="76">
        <f t="shared" si="4"/>
        <v>84354</v>
      </c>
      <c r="M68" s="72">
        <f>M45*24</f>
        <v>118893.6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46222.0</v>
      </c>
      <c r="F69" s="16" t="s">
        <v>16</v>
      </c>
      <c r="G69" s="23">
        <v>745.0</v>
      </c>
      <c r="H69" s="18"/>
      <c r="I69" s="3"/>
      <c r="J69" s="75">
        <f t="shared" si="3"/>
        <v>46222</v>
      </c>
      <c r="K69" s="71">
        <f>SUMIF(E5:E127,J69,G5:G127)</f>
        <v>8898</v>
      </c>
      <c r="L69" s="76">
        <f t="shared" si="4"/>
        <v>93252</v>
      </c>
      <c r="M69" s="72">
        <f>M45*25</f>
        <v>123847.5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46222.0</v>
      </c>
      <c r="F70" s="16" t="s">
        <v>13</v>
      </c>
      <c r="G70" s="23">
        <v>410.0</v>
      </c>
      <c r="H70" s="23"/>
      <c r="I70" s="3"/>
      <c r="J70" s="75">
        <f t="shared" si="3"/>
        <v>46223</v>
      </c>
      <c r="K70" s="71">
        <f>SUMIF(E5:E127,J70,G5:G127)</f>
        <v>4151</v>
      </c>
      <c r="L70" s="76">
        <f t="shared" si="4"/>
        <v>97403</v>
      </c>
      <c r="M70" s="72">
        <f>M45*26</f>
        <v>128801.4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46223.0</v>
      </c>
      <c r="F71" s="16" t="s">
        <v>16</v>
      </c>
      <c r="G71" s="23">
        <v>3951.0</v>
      </c>
      <c r="H71" s="18"/>
      <c r="I71" s="3"/>
      <c r="J71" s="75">
        <f t="shared" si="3"/>
        <v>46224</v>
      </c>
      <c r="K71" s="71">
        <f>SUMIF(E5:E127,J71,G5:G127)</f>
        <v>3707</v>
      </c>
      <c r="L71" s="76">
        <f t="shared" si="4"/>
        <v>101110</v>
      </c>
      <c r="M71" s="72">
        <f>M45*27</f>
        <v>133755.3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46223.0</v>
      </c>
      <c r="F72" s="16" t="s">
        <v>17</v>
      </c>
      <c r="G72" s="23">
        <v>200.0</v>
      </c>
      <c r="H72" s="18"/>
      <c r="I72" s="3"/>
      <c r="J72" s="75">
        <f t="shared" si="3"/>
        <v>46225</v>
      </c>
      <c r="K72" s="71">
        <f>SUMIF(E5:E127,J72,G5:G127)</f>
        <v>4151</v>
      </c>
      <c r="L72" s="76">
        <f t="shared" si="4"/>
        <v>105261</v>
      </c>
      <c r="M72" s="72">
        <f>M45*28</f>
        <v>138709.2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46224.0</v>
      </c>
      <c r="F73" s="16" t="s">
        <v>16</v>
      </c>
      <c r="G73" s="23">
        <v>417.0</v>
      </c>
      <c r="H73" s="18"/>
      <c r="I73" s="3"/>
      <c r="J73" s="75">
        <f t="shared" si="3"/>
        <v>46226</v>
      </c>
      <c r="K73" s="71">
        <f>SUMIF(E5:E127,J73,G5:G127)</f>
        <v>4012</v>
      </c>
      <c r="L73" s="76">
        <f t="shared" si="4"/>
        <v>109273</v>
      </c>
      <c r="M73" s="72">
        <f>M45*29</f>
        <v>143663.1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46224.0</v>
      </c>
      <c r="F74" s="16" t="s">
        <v>11</v>
      </c>
      <c r="G74" s="23">
        <v>1480.0</v>
      </c>
      <c r="H74" s="18"/>
      <c r="I74" s="3"/>
      <c r="J74" s="75">
        <f t="shared" si="3"/>
        <v>46227</v>
      </c>
      <c r="K74" s="71">
        <f>SUMIF(E5:E127,J74,G5:G127)</f>
        <v>2280</v>
      </c>
      <c r="L74" s="76">
        <f t="shared" si="4"/>
        <v>111553</v>
      </c>
      <c r="M74" s="72">
        <f>M45*30</f>
        <v>148617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46224.0</v>
      </c>
      <c r="F75" s="16" t="s">
        <v>17</v>
      </c>
      <c r="G75" s="23">
        <v>1000.0</v>
      </c>
      <c r="H75" s="18"/>
      <c r="I75" s="3"/>
      <c r="J75" s="75">
        <f t="shared" si="3"/>
        <v>46228</v>
      </c>
      <c r="K75" s="71">
        <f>SUMIF(E5:E127,J75,G5:G127)</f>
        <v>0</v>
      </c>
      <c r="L75" s="76">
        <f t="shared" si="4"/>
        <v>111553</v>
      </c>
      <c r="M75" s="72">
        <f>M45*31</f>
        <v>153570.9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46224.0</v>
      </c>
      <c r="F76" s="16" t="s">
        <v>11</v>
      </c>
      <c r="G76" s="23">
        <v>810.0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46225.0</v>
      </c>
      <c r="F77" s="16" t="s">
        <v>13</v>
      </c>
      <c r="G77" s="23">
        <v>535.0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46225.0</v>
      </c>
      <c r="F78" s="16" t="s">
        <v>13</v>
      </c>
      <c r="G78" s="23">
        <v>210.0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46225.0</v>
      </c>
      <c r="F79" s="16" t="s">
        <v>13</v>
      </c>
      <c r="G79" s="23">
        <v>547.0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46225.0</v>
      </c>
      <c r="F80" s="16" t="s">
        <v>17</v>
      </c>
      <c r="G80" s="23">
        <v>1000.0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46225.0</v>
      </c>
      <c r="F81" s="16" t="s">
        <v>11</v>
      </c>
      <c r="G81" s="23">
        <v>920.0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46225.0</v>
      </c>
      <c r="F82" s="16" t="s">
        <v>16</v>
      </c>
      <c r="G82" s="23">
        <v>689.0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46225.0</v>
      </c>
      <c r="F83" s="16" t="s">
        <v>40</v>
      </c>
      <c r="G83" s="23">
        <v>250.0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46226.0</v>
      </c>
      <c r="F84" s="16" t="s">
        <v>11</v>
      </c>
      <c r="G84" s="23">
        <v>1180.0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46226.0</v>
      </c>
      <c r="F85" s="16" t="s">
        <v>17</v>
      </c>
      <c r="G85" s="23">
        <v>1000.0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46226.0</v>
      </c>
      <c r="F86" s="16" t="s">
        <v>11</v>
      </c>
      <c r="G86" s="23">
        <v>820.0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46226.0</v>
      </c>
      <c r="F87" s="16" t="s">
        <v>16</v>
      </c>
      <c r="G87" s="23">
        <v>704.0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>
        <v>46226.0</v>
      </c>
      <c r="F88" s="16" t="s">
        <v>14</v>
      </c>
      <c r="G88" s="23">
        <v>308.0</v>
      </c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>
        <v>46227.0</v>
      </c>
      <c r="F89" s="16" t="s">
        <v>11</v>
      </c>
      <c r="G89" s="23">
        <v>2280.0</v>
      </c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/>
      <c r="F90" s="16"/>
      <c r="G90" s="23"/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/>
      <c r="F91" s="16"/>
      <c r="G91" s="23"/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/>
      <c r="F92" s="16"/>
      <c r="G92" s="23"/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/>
      <c r="F93" s="16"/>
      <c r="G93" s="23"/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/>
      <c r="F94" s="16"/>
      <c r="G94" s="23"/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/>
      <c r="F95" s="16"/>
      <c r="G95" s="23"/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/>
      <c r="F96" s="16"/>
      <c r="G96" s="23"/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/>
      <c r="F97" s="16"/>
      <c r="G97" s="23"/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/>
      <c r="F98" s="16"/>
      <c r="G98" s="23"/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/>
      <c r="F99" s="16"/>
      <c r="G99" s="23"/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/>
      <c r="F100" s="16"/>
      <c r="G100" s="23"/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/>
      <c r="F101" s="16"/>
      <c r="G101" s="23"/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/>
      <c r="F102" s="16"/>
      <c r="G102" s="23"/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/>
      <c r="F103" s="16"/>
      <c r="G103" s="23"/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/>
      <c r="F104" s="16"/>
      <c r="G104" s="23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/>
      <c r="F105" s="16"/>
      <c r="G105" s="23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/>
      <c r="F106" s="16"/>
      <c r="G106" s="23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/>
      <c r="F107" s="16"/>
      <c r="G107" s="23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/>
      <c r="F108" s="16"/>
      <c r="G108" s="23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/>
      <c r="F109" s="16"/>
      <c r="G109" s="23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/>
      <c r="F110" s="16"/>
      <c r="G110" s="23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15"/>
      <c r="F111" s="16"/>
      <c r="G111" s="23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15"/>
      <c r="F112" s="16"/>
      <c r="G112" s="23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15"/>
      <c r="F113" s="16"/>
      <c r="G113" s="23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15"/>
      <c r="F114" s="16"/>
      <c r="G114" s="23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15"/>
      <c r="F115" s="16"/>
      <c r="G115" s="23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15"/>
      <c r="F116" s="16"/>
      <c r="G116" s="23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79"/>
      <c r="G123" s="18"/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79"/>
      <c r="G124" s="23"/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16" t="s">
        <v>11</v>
      </c>
      <c r="G125" s="23">
        <v>16390.0</v>
      </c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16" t="s">
        <v>9</v>
      </c>
      <c r="G126" s="23">
        <v>6121.0</v>
      </c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16" t="s">
        <v>9</v>
      </c>
      <c r="G127" s="23">
        <v>7000.0</v>
      </c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141064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E5:E127">
      <formula1>'26Jul'!$J$45:$J$75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9" max="9" width="3.5"/>
    <col customWidth="1" min="10" max="10" width="19.0"/>
    <col customWidth="1" min="11" max="11" width="11.13"/>
    <col customWidth="1" min="12" max="12" width="12.0"/>
    <col customWidth="1" min="13" max="13" width="10.75"/>
    <col customWidth="1" min="14" max="14" width="9.25"/>
    <col customWidth="1" min="15" max="15" width="10.0"/>
  </cols>
  <sheetData>
    <row r="1">
      <c r="A1" s="1"/>
      <c r="B1" s="2">
        <v>46235.0</v>
      </c>
      <c r="D1" s="3"/>
      <c r="E1" s="3"/>
      <c r="F1" s="3"/>
      <c r="G1" s="5"/>
      <c r="H1" s="5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3"/>
      <c r="B2" s="3"/>
      <c r="C2" s="3"/>
      <c r="D2" s="3"/>
      <c r="E2" s="4"/>
      <c r="F2" s="3"/>
      <c r="G2" s="5"/>
      <c r="H2" s="5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5"/>
      <c r="I3" s="3"/>
      <c r="J3" s="6" t="s">
        <v>2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10" t="s">
        <v>6</v>
      </c>
      <c r="I4" s="3"/>
      <c r="J4" s="11" t="s">
        <v>7</v>
      </c>
      <c r="K4" s="12">
        <f>C14</f>
        <v>759978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>
      <c r="A5" s="3"/>
      <c r="B5" s="13" t="s">
        <v>8</v>
      </c>
      <c r="C5" s="14">
        <v>759978.0</v>
      </c>
      <c r="D5" s="3"/>
      <c r="E5" s="15">
        <v>46228.0</v>
      </c>
      <c r="F5" s="16" t="s">
        <v>11</v>
      </c>
      <c r="G5" s="17">
        <v>1420.0</v>
      </c>
      <c r="H5" s="18"/>
      <c r="I5" s="3"/>
      <c r="J5" s="19" t="s">
        <v>10</v>
      </c>
      <c r="K5" s="20">
        <f>G128+C40</f>
        <v>357496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>
      <c r="A6" s="3"/>
      <c r="B6" s="21"/>
      <c r="C6" s="22"/>
      <c r="D6" s="3"/>
      <c r="E6" s="15">
        <v>46228.0</v>
      </c>
      <c r="F6" s="16" t="s">
        <v>16</v>
      </c>
      <c r="G6" s="23">
        <v>4822.0</v>
      </c>
      <c r="H6" s="18"/>
      <c r="I6" s="3"/>
      <c r="J6" s="24" t="s">
        <v>12</v>
      </c>
      <c r="K6" s="25">
        <f>K4-K5</f>
        <v>402482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>
      <c r="A7" s="3"/>
      <c r="B7" s="21"/>
      <c r="C7" s="26"/>
      <c r="D7" s="3"/>
      <c r="E7" s="15">
        <v>46228.0</v>
      </c>
      <c r="F7" s="16" t="s">
        <v>17</v>
      </c>
      <c r="G7" s="23">
        <v>1000.0</v>
      </c>
      <c r="H7" s="23"/>
      <c r="I7" s="3"/>
      <c r="J7" s="1"/>
      <c r="K7" s="2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>
      <c r="A8" s="3"/>
      <c r="B8" s="21"/>
      <c r="C8" s="26"/>
      <c r="D8" s="3"/>
      <c r="E8" s="15">
        <v>46229.0</v>
      </c>
      <c r="F8" s="16" t="s">
        <v>11</v>
      </c>
      <c r="G8" s="23">
        <v>620.0</v>
      </c>
      <c r="H8" s="18"/>
      <c r="I8" s="3"/>
      <c r="J8" s="6" t="s">
        <v>15</v>
      </c>
      <c r="K8" s="2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>
      <c r="A9" s="3"/>
      <c r="B9" s="21"/>
      <c r="C9" s="26"/>
      <c r="D9" s="3"/>
      <c r="E9" s="15">
        <v>46229.0</v>
      </c>
      <c r="F9" s="16" t="s">
        <v>11</v>
      </c>
      <c r="G9" s="23">
        <v>3300.0</v>
      </c>
      <c r="H9" s="18"/>
      <c r="I9" s="3"/>
      <c r="J9" s="28" t="s">
        <v>18</v>
      </c>
      <c r="K9" s="29">
        <f>EDATE(B1,-1) + 24</f>
        <v>46228</v>
      </c>
      <c r="L9" s="3"/>
      <c r="M9" s="30"/>
      <c r="N9" s="30"/>
      <c r="O9" s="30"/>
      <c r="P9" s="3"/>
      <c r="Q9" s="3"/>
      <c r="R9" s="3"/>
      <c r="S9" s="3"/>
      <c r="T9" s="3"/>
      <c r="U9" s="3"/>
      <c r="V9" s="3"/>
      <c r="W9" s="3"/>
      <c r="X9" s="3"/>
    </row>
    <row r="10">
      <c r="A10" s="3"/>
      <c r="B10" s="21"/>
      <c r="C10" s="26"/>
      <c r="D10" s="3"/>
      <c r="E10" s="15">
        <v>46229.0</v>
      </c>
      <c r="F10" s="16" t="s">
        <v>13</v>
      </c>
      <c r="G10" s="23">
        <v>357.0</v>
      </c>
      <c r="H10" s="23"/>
      <c r="I10" s="3"/>
      <c r="J10" s="28" t="s">
        <v>19</v>
      </c>
      <c r="K10" s="31">
        <f>EDATE(B1,0) + 23</f>
        <v>46258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>
      <c r="A11" s="3"/>
      <c r="B11" s="21"/>
      <c r="C11" s="26"/>
      <c r="D11" s="3"/>
      <c r="E11" s="15">
        <v>46230.0</v>
      </c>
      <c r="F11" s="16" t="s">
        <v>13</v>
      </c>
      <c r="G11" s="23">
        <v>176.0</v>
      </c>
      <c r="H11" s="18"/>
      <c r="I11" s="3"/>
      <c r="J11" s="28" t="s">
        <v>20</v>
      </c>
      <c r="K11" s="31">
        <f>TODAY()</f>
        <v>46324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>
      <c r="A12" s="3"/>
      <c r="B12" s="21"/>
      <c r="C12" s="26"/>
      <c r="D12" s="3"/>
      <c r="E12" s="15">
        <v>46230.0</v>
      </c>
      <c r="F12" s="16" t="s">
        <v>16</v>
      </c>
      <c r="G12" s="23">
        <v>896.0</v>
      </c>
      <c r="H12" s="18"/>
      <c r="I12" s="3"/>
      <c r="J12" s="28" t="s">
        <v>21</v>
      </c>
      <c r="K12" s="32">
        <f>IF(AND(K11 &gt;= K9, K11 &lt;= K10), DATEDIF(K11,K10,"D") + 1, 0)</f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>
      <c r="A13" s="3"/>
      <c r="B13" s="21"/>
      <c r="C13" s="26"/>
      <c r="D13" s="3"/>
      <c r="E13" s="15">
        <v>46231.0</v>
      </c>
      <c r="F13" s="16" t="s">
        <v>16</v>
      </c>
      <c r="G13" s="23">
        <v>3494.0</v>
      </c>
      <c r="H13" s="18"/>
      <c r="I13" s="3"/>
      <c r="J13" s="33" t="s">
        <v>22</v>
      </c>
      <c r="K13" s="84">
        <v>400000.0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>
      <c r="A14" s="3"/>
      <c r="B14" s="35" t="s">
        <v>23</v>
      </c>
      <c r="C14" s="36">
        <f>SUM(C5:C13)</f>
        <v>759978</v>
      </c>
      <c r="D14" s="3"/>
      <c r="E14" s="15">
        <v>46232.0</v>
      </c>
      <c r="F14" s="16" t="s">
        <v>11</v>
      </c>
      <c r="G14" s="23">
        <v>835.0</v>
      </c>
      <c r="H14" s="18"/>
      <c r="I14" s="3"/>
      <c r="J14" s="37" t="s">
        <v>24</v>
      </c>
      <c r="K14" s="38">
        <f>K6-K13</f>
        <v>2482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>
      <c r="A15" s="3"/>
      <c r="B15" s="3"/>
      <c r="C15" s="3"/>
      <c r="D15" s="3"/>
      <c r="E15" s="15">
        <v>46232.0</v>
      </c>
      <c r="F15" s="16" t="s">
        <v>17</v>
      </c>
      <c r="G15" s="23">
        <v>1000.0</v>
      </c>
      <c r="H15" s="18"/>
      <c r="I15" s="3"/>
      <c r="J15" s="39" t="s">
        <v>25</v>
      </c>
      <c r="K15" s="40">
        <f>IF(K12 &gt; 0, K14 / K12, 0)</f>
        <v>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>
      <c r="A16" s="3"/>
      <c r="B16" s="6" t="s">
        <v>26</v>
      </c>
      <c r="C16" s="3"/>
      <c r="D16" s="3"/>
      <c r="E16" s="15">
        <v>46232.0</v>
      </c>
      <c r="F16" s="16" t="s">
        <v>17</v>
      </c>
      <c r="G16" s="23">
        <v>1000.0</v>
      </c>
      <c r="H16" s="2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>
      <c r="A17" s="3"/>
      <c r="B17" s="41" t="s">
        <v>3</v>
      </c>
      <c r="C17" s="41" t="s">
        <v>4</v>
      </c>
      <c r="D17" s="3"/>
      <c r="E17" s="15">
        <v>46232.0</v>
      </c>
      <c r="F17" s="16" t="s">
        <v>40</v>
      </c>
      <c r="G17" s="23">
        <v>270.0</v>
      </c>
      <c r="H17" s="18"/>
      <c r="I17" s="3"/>
      <c r="J17" s="42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>
      <c r="A18" s="3"/>
      <c r="B18" s="43" t="s">
        <v>29</v>
      </c>
      <c r="C18" s="44">
        <v>85300.0</v>
      </c>
      <c r="D18" s="3"/>
      <c r="E18" s="15">
        <v>46233.0</v>
      </c>
      <c r="F18" s="16" t="s">
        <v>17</v>
      </c>
      <c r="G18" s="23">
        <v>1000.0</v>
      </c>
      <c r="H18" s="18"/>
      <c r="I18" s="3"/>
      <c r="J18" s="11" t="s">
        <v>30</v>
      </c>
      <c r="K18" s="45">
        <f>SUMIF(E5:E127, TODAY(), G5:G127)</f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>
      <c r="A19" s="3"/>
      <c r="B19" s="43" t="s">
        <v>31</v>
      </c>
      <c r="C19" s="44">
        <v>50000.0</v>
      </c>
      <c r="D19" s="3"/>
      <c r="E19" s="15">
        <v>46233.0</v>
      </c>
      <c r="F19" s="16" t="s">
        <v>13</v>
      </c>
      <c r="G19" s="23">
        <v>506.0</v>
      </c>
      <c r="H19" s="18"/>
      <c r="I19" s="3"/>
      <c r="J19" s="46" t="s">
        <v>32</v>
      </c>
      <c r="K19" s="47">
        <f>K15-K18</f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>
      <c r="A20" s="3"/>
      <c r="B20" s="43" t="s">
        <v>33</v>
      </c>
      <c r="C20" s="52">
        <v>540.0</v>
      </c>
      <c r="D20" s="3"/>
      <c r="E20" s="15">
        <v>46233.0</v>
      </c>
      <c r="F20" s="16" t="s">
        <v>40</v>
      </c>
      <c r="G20" s="23">
        <v>270.0</v>
      </c>
      <c r="H20" s="18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>
      <c r="A21" s="3"/>
      <c r="B21" s="43" t="s">
        <v>34</v>
      </c>
      <c r="C21" s="44">
        <v>2700.0</v>
      </c>
      <c r="D21" s="3"/>
      <c r="E21" s="15">
        <v>46233.0</v>
      </c>
      <c r="F21" s="16" t="s">
        <v>17</v>
      </c>
      <c r="G21" s="23">
        <v>500.0</v>
      </c>
      <c r="H21" s="18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>
      <c r="A22" s="3"/>
      <c r="B22" s="43" t="s">
        <v>35</v>
      </c>
      <c r="C22" s="44">
        <v>5217.0</v>
      </c>
      <c r="D22" s="3"/>
      <c r="E22" s="15">
        <v>46233.0</v>
      </c>
      <c r="F22" s="16" t="s">
        <v>16</v>
      </c>
      <c r="G22" s="23">
        <v>2295.0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>
      <c r="A23" s="3"/>
      <c r="B23" s="48" t="s">
        <v>36</v>
      </c>
      <c r="C23" s="49">
        <v>1280.0</v>
      </c>
      <c r="D23" s="3"/>
      <c r="E23" s="50">
        <v>46233.0</v>
      </c>
      <c r="F23" s="16" t="s">
        <v>16</v>
      </c>
      <c r="G23" s="23">
        <v>3188.0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>
      <c r="A24" s="3"/>
      <c r="B24" s="51" t="s">
        <v>37</v>
      </c>
      <c r="C24" s="52">
        <v>13127.0</v>
      </c>
      <c r="D24" s="3"/>
      <c r="E24" s="15">
        <v>46234.0</v>
      </c>
      <c r="F24" s="16" t="s">
        <v>13</v>
      </c>
      <c r="G24" s="23">
        <v>340.0</v>
      </c>
      <c r="H24" s="18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>
      <c r="A25" s="3"/>
      <c r="B25" s="51" t="s">
        <v>38</v>
      </c>
      <c r="C25" s="52">
        <v>2680.0</v>
      </c>
      <c r="D25" s="3"/>
      <c r="E25" s="15">
        <v>46234.0</v>
      </c>
      <c r="F25" s="16" t="s">
        <v>13</v>
      </c>
      <c r="G25" s="53">
        <v>1070.0</v>
      </c>
      <c r="H25" s="18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>
      <c r="A26" s="3"/>
      <c r="B26" s="48" t="s">
        <v>39</v>
      </c>
      <c r="C26" s="54">
        <v>2000.0</v>
      </c>
      <c r="D26" s="3"/>
      <c r="E26" s="15">
        <v>46234.0</v>
      </c>
      <c r="F26" s="16" t="s">
        <v>13</v>
      </c>
      <c r="G26" s="23">
        <v>1301.0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>
      <c r="A27" s="3"/>
      <c r="B27" s="55"/>
      <c r="C27" s="56"/>
      <c r="D27" s="3"/>
      <c r="E27" s="15">
        <v>46234.0</v>
      </c>
      <c r="F27" s="16" t="s">
        <v>16</v>
      </c>
      <c r="G27" s="23">
        <v>1576.0</v>
      </c>
      <c r="H27" s="18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>
      <c r="A28" s="3"/>
      <c r="B28" s="43"/>
      <c r="C28" s="57"/>
      <c r="D28" s="3"/>
      <c r="E28" s="15">
        <v>46235.0</v>
      </c>
      <c r="F28" s="16" t="s">
        <v>17</v>
      </c>
      <c r="G28" s="23">
        <v>1000.0</v>
      </c>
      <c r="H28" s="18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>
      <c r="A29" s="3"/>
      <c r="B29" s="43"/>
      <c r="C29" s="57"/>
      <c r="D29" s="3"/>
      <c r="E29" s="15">
        <v>46235.0</v>
      </c>
      <c r="F29" s="16" t="s">
        <v>13</v>
      </c>
      <c r="G29" s="23">
        <v>579.0</v>
      </c>
      <c r="H29" s="18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>
      <c r="A30" s="3"/>
      <c r="B30" s="43"/>
      <c r="C30" s="57"/>
      <c r="D30" s="3"/>
      <c r="E30" s="15">
        <v>46235.0</v>
      </c>
      <c r="F30" s="16" t="s">
        <v>11</v>
      </c>
      <c r="G30" s="23">
        <v>4770.0</v>
      </c>
      <c r="H30" s="18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>
      <c r="A31" s="3"/>
      <c r="B31" s="43"/>
      <c r="C31" s="57"/>
      <c r="D31" s="3"/>
      <c r="E31" s="15">
        <v>46235.0</v>
      </c>
      <c r="F31" s="16" t="s">
        <v>13</v>
      </c>
      <c r="G31" s="23">
        <v>392.0</v>
      </c>
      <c r="H31" s="18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>
      <c r="A32" s="3"/>
      <c r="B32" s="43"/>
      <c r="C32" s="57"/>
      <c r="D32" s="3"/>
      <c r="E32" s="15">
        <v>46236.0</v>
      </c>
      <c r="F32" s="16" t="s">
        <v>40</v>
      </c>
      <c r="G32" s="23">
        <v>2000.0</v>
      </c>
      <c r="H32" s="18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>
      <c r="A33" s="3"/>
      <c r="B33" s="43"/>
      <c r="C33" s="57"/>
      <c r="D33" s="3"/>
      <c r="E33" s="15">
        <v>46236.0</v>
      </c>
      <c r="F33" s="16" t="s">
        <v>16</v>
      </c>
      <c r="G33" s="23">
        <v>3946.0</v>
      </c>
      <c r="H33" s="18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>
      <c r="A34" s="3"/>
      <c r="B34" s="43"/>
      <c r="C34" s="57"/>
      <c r="D34" s="3"/>
      <c r="E34" s="15">
        <v>46236.0</v>
      </c>
      <c r="F34" s="16" t="s">
        <v>40</v>
      </c>
      <c r="G34" s="23">
        <v>190.0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>
      <c r="A35" s="3"/>
      <c r="B35" s="43"/>
      <c r="C35" s="57"/>
      <c r="D35" s="3"/>
      <c r="E35" s="15">
        <v>46237.0</v>
      </c>
      <c r="F35" s="16" t="s">
        <v>40</v>
      </c>
      <c r="G35" s="23">
        <v>1198.0</v>
      </c>
      <c r="H35" s="18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>
      <c r="A36" s="3"/>
      <c r="B36" s="43"/>
      <c r="C36" s="57"/>
      <c r="D36" s="3"/>
      <c r="E36" s="15">
        <v>46238.0</v>
      </c>
      <c r="F36" s="16" t="s">
        <v>16</v>
      </c>
      <c r="G36" s="23">
        <v>3691.0</v>
      </c>
      <c r="H36" s="18"/>
      <c r="I36" s="3"/>
      <c r="J36" s="3"/>
      <c r="K36" s="3"/>
      <c r="L36" s="3"/>
      <c r="M36" s="3"/>
      <c r="N36" s="58"/>
      <c r="O36" s="58"/>
      <c r="P36" s="3"/>
      <c r="Q36" s="3"/>
      <c r="R36" s="3"/>
      <c r="S36" s="3"/>
      <c r="T36" s="3"/>
      <c r="U36" s="3"/>
      <c r="V36" s="3"/>
      <c r="W36" s="3"/>
      <c r="X36" s="3"/>
    </row>
    <row r="37">
      <c r="A37" s="3"/>
      <c r="B37" s="43"/>
      <c r="C37" s="57"/>
      <c r="D37" s="3"/>
      <c r="E37" s="15">
        <v>46238.0</v>
      </c>
      <c r="F37" s="16" t="s">
        <v>40</v>
      </c>
      <c r="G37" s="23">
        <v>400.0</v>
      </c>
      <c r="H37" s="18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>
      <c r="A38" s="3"/>
      <c r="B38" s="43"/>
      <c r="C38" s="57"/>
      <c r="D38" s="3"/>
      <c r="E38" s="15">
        <v>46238.0</v>
      </c>
      <c r="F38" s="16" t="s">
        <v>13</v>
      </c>
      <c r="G38" s="23">
        <v>965.0</v>
      </c>
      <c r="H38" s="18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>
      <c r="A39" s="3"/>
      <c r="B39" s="43"/>
      <c r="C39" s="57"/>
      <c r="D39" s="3"/>
      <c r="E39" s="15">
        <v>46238.0</v>
      </c>
      <c r="F39" s="16" t="s">
        <v>13</v>
      </c>
      <c r="G39" s="23">
        <v>494.0</v>
      </c>
      <c r="H39" s="18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>
      <c r="A40" s="3"/>
      <c r="B40" s="59" t="s">
        <v>23</v>
      </c>
      <c r="C40" s="60">
        <f>SUM(C18:C39)</f>
        <v>162844</v>
      </c>
      <c r="D40" s="3"/>
      <c r="E40" s="15">
        <v>46238.0</v>
      </c>
      <c r="F40" s="16" t="s">
        <v>17</v>
      </c>
      <c r="G40" s="23">
        <v>1000.0</v>
      </c>
      <c r="H40" s="18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>
      <c r="A41" s="3"/>
      <c r="B41" s="61"/>
      <c r="C41" s="61"/>
      <c r="D41" s="3"/>
      <c r="E41" s="15">
        <v>46239.0</v>
      </c>
      <c r="F41" s="16" t="s">
        <v>11</v>
      </c>
      <c r="G41" s="23">
        <v>1200.0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>
      <c r="A42" s="3"/>
      <c r="B42" s="62"/>
      <c r="C42" s="62"/>
      <c r="D42" s="3"/>
      <c r="E42" s="15">
        <v>46239.0</v>
      </c>
      <c r="F42" s="16" t="s">
        <v>11</v>
      </c>
      <c r="G42" s="23">
        <v>850.0</v>
      </c>
      <c r="H42" s="18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>
      <c r="A43" s="3"/>
      <c r="B43" s="3"/>
      <c r="C43" s="3"/>
      <c r="D43" s="3"/>
      <c r="E43" s="15">
        <v>46239.0</v>
      </c>
      <c r="F43" s="16" t="s">
        <v>16</v>
      </c>
      <c r="G43" s="23">
        <v>1278.0</v>
      </c>
      <c r="H43" s="18"/>
      <c r="I43" s="3"/>
      <c r="J43" s="63" t="s">
        <v>42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>
      <c r="A44" s="3"/>
      <c r="B44" s="3"/>
      <c r="C44" s="3"/>
      <c r="D44" s="3"/>
      <c r="E44" s="15">
        <v>46240.0</v>
      </c>
      <c r="F44" s="16" t="s">
        <v>13</v>
      </c>
      <c r="G44" s="23">
        <v>951.0</v>
      </c>
      <c r="H44" s="18"/>
      <c r="I44" s="3"/>
      <c r="J44" s="9" t="s">
        <v>5</v>
      </c>
      <c r="K44" s="10" t="s">
        <v>43</v>
      </c>
      <c r="L44" s="64" t="s">
        <v>44</v>
      </c>
      <c r="M44" s="65" t="s">
        <v>45</v>
      </c>
      <c r="N44" s="66" t="s">
        <v>46</v>
      </c>
      <c r="O44" s="67" t="s">
        <v>20</v>
      </c>
      <c r="P44" s="3"/>
      <c r="Q44" s="68"/>
      <c r="R44" s="68"/>
      <c r="S44" s="3"/>
      <c r="T44" s="3"/>
      <c r="U44" s="3"/>
      <c r="V44" s="3"/>
      <c r="W44" s="3"/>
      <c r="X44" s="3"/>
    </row>
    <row r="45">
      <c r="A45" s="3"/>
      <c r="B45" s="3"/>
      <c r="C45" s="3"/>
      <c r="D45" s="3"/>
      <c r="E45" s="15">
        <v>46240.0</v>
      </c>
      <c r="F45" s="16" t="s">
        <v>17</v>
      </c>
      <c r="G45" s="23">
        <v>1000.0</v>
      </c>
      <c r="H45" s="18"/>
      <c r="I45" s="3"/>
      <c r="J45" s="69">
        <f>EDATE(B1,-1) + 24 + 0</f>
        <v>46228</v>
      </c>
      <c r="K45" s="70">
        <f>SUMIF(E5:E127,J45,G5:G127)</f>
        <v>7242</v>
      </c>
      <c r="L45" s="71">
        <f>K45</f>
        <v>7242</v>
      </c>
      <c r="M45" s="72">
        <f>(K4-C40-K13)/(K10-K9+1)</f>
        <v>6359.16129</v>
      </c>
      <c r="N45" s="73" t="str">
        <f t="shared" ref="N45:N75" si="1">IF(J45=TODAY(), M45-L45, NA())</f>
        <v>#N/A</v>
      </c>
      <c r="O45" s="74" t="str">
        <f t="shared" ref="O45:O75" si="2">IF(J45=TODAY(), L45, NA())</f>
        <v>#N/A</v>
      </c>
      <c r="P45" s="3"/>
      <c r="Q45" s="68"/>
      <c r="R45" s="68"/>
      <c r="S45" s="3"/>
      <c r="T45" s="3"/>
      <c r="U45" s="3"/>
      <c r="V45" s="3"/>
      <c r="W45" s="3"/>
      <c r="X45" s="3"/>
    </row>
    <row r="46">
      <c r="A46" s="3"/>
      <c r="B46" s="3"/>
      <c r="C46" s="3"/>
      <c r="D46" s="3"/>
      <c r="E46" s="15">
        <v>46240.0</v>
      </c>
      <c r="F46" s="16" t="s">
        <v>13</v>
      </c>
      <c r="G46" s="23">
        <v>842.0</v>
      </c>
      <c r="H46" s="18"/>
      <c r="I46" s="3"/>
      <c r="J46" s="75">
        <f t="shared" ref="J46:J75" si="3">J45 + 1</f>
        <v>46229</v>
      </c>
      <c r="K46" s="71">
        <f>SUMIF(E5:E127,J46,G5:G127)</f>
        <v>4277</v>
      </c>
      <c r="L46" s="76">
        <f t="shared" ref="L46:L75" si="4">SUM(L45,K46)</f>
        <v>11519</v>
      </c>
      <c r="M46" s="72">
        <f>M45*2</f>
        <v>12718.32258</v>
      </c>
      <c r="N46" s="73" t="str">
        <f t="shared" si="1"/>
        <v>#N/A</v>
      </c>
      <c r="O46" s="74" t="str">
        <f t="shared" si="2"/>
        <v>#N/A</v>
      </c>
      <c r="P46" s="3"/>
      <c r="Q46" s="68"/>
      <c r="R46" s="68"/>
      <c r="S46" s="3"/>
      <c r="T46" s="3"/>
      <c r="U46" s="3"/>
      <c r="V46" s="3"/>
      <c r="W46" s="3"/>
      <c r="X46" s="3"/>
    </row>
    <row r="47">
      <c r="A47" s="3"/>
      <c r="B47" s="3"/>
      <c r="C47" s="3"/>
      <c r="D47" s="3"/>
      <c r="E47" s="15">
        <v>46240.0</v>
      </c>
      <c r="F47" s="16" t="s">
        <v>14</v>
      </c>
      <c r="G47" s="23">
        <v>1524.0</v>
      </c>
      <c r="H47" s="18"/>
      <c r="I47" s="3"/>
      <c r="J47" s="75">
        <f t="shared" si="3"/>
        <v>46230</v>
      </c>
      <c r="K47" s="71">
        <f>SUMIF(E5:E127,J47,G5:G127)</f>
        <v>1072</v>
      </c>
      <c r="L47" s="76">
        <f t="shared" si="4"/>
        <v>12591</v>
      </c>
      <c r="M47" s="72">
        <f>M45*3</f>
        <v>19077.48387</v>
      </c>
      <c r="N47" s="73" t="str">
        <f t="shared" si="1"/>
        <v>#N/A</v>
      </c>
      <c r="O47" s="77" t="str">
        <f t="shared" si="2"/>
        <v>#N/A</v>
      </c>
      <c r="P47" s="3"/>
      <c r="Q47" s="68"/>
      <c r="R47" s="68"/>
      <c r="S47" s="3"/>
      <c r="T47" s="3"/>
      <c r="U47" s="3"/>
      <c r="V47" s="3"/>
      <c r="W47" s="3"/>
      <c r="X47" s="3"/>
    </row>
    <row r="48">
      <c r="A48" s="3"/>
      <c r="B48" s="3"/>
      <c r="C48" s="3"/>
      <c r="D48" s="3"/>
      <c r="E48" s="15">
        <v>46241.0</v>
      </c>
      <c r="F48" s="16" t="s">
        <v>11</v>
      </c>
      <c r="G48" s="23">
        <v>1512.0</v>
      </c>
      <c r="H48" s="18"/>
      <c r="I48" s="3"/>
      <c r="J48" s="75">
        <f t="shared" si="3"/>
        <v>46231</v>
      </c>
      <c r="K48" s="71">
        <f>SUMIF(E5:E127,J48,G5:G127)</f>
        <v>3494</v>
      </c>
      <c r="L48" s="76">
        <f t="shared" si="4"/>
        <v>16085</v>
      </c>
      <c r="M48" s="72">
        <f>M45*4</f>
        <v>25436.64516</v>
      </c>
      <c r="N48" s="73" t="str">
        <f t="shared" si="1"/>
        <v>#N/A</v>
      </c>
      <c r="O48" s="74" t="str">
        <f t="shared" si="2"/>
        <v>#N/A</v>
      </c>
      <c r="P48" s="3"/>
      <c r="Q48" s="68"/>
      <c r="R48" s="68"/>
      <c r="S48" s="3"/>
      <c r="T48" s="3"/>
      <c r="U48" s="3"/>
      <c r="V48" s="3"/>
      <c r="W48" s="3"/>
      <c r="X48" s="3"/>
    </row>
    <row r="49">
      <c r="A49" s="3"/>
      <c r="B49" s="3"/>
      <c r="C49" s="3"/>
      <c r="D49" s="3"/>
      <c r="E49" s="15">
        <v>46241.0</v>
      </c>
      <c r="F49" s="16" t="s">
        <v>14</v>
      </c>
      <c r="G49" s="23">
        <v>171.0</v>
      </c>
      <c r="H49" s="18"/>
      <c r="I49" s="3"/>
      <c r="J49" s="75">
        <f t="shared" si="3"/>
        <v>46232</v>
      </c>
      <c r="K49" s="71">
        <f>SUMIF(E5:E127,J49,G5:G127)</f>
        <v>3105</v>
      </c>
      <c r="L49" s="76">
        <f t="shared" si="4"/>
        <v>19190</v>
      </c>
      <c r="M49" s="72">
        <f>M45*5</f>
        <v>31795.80645</v>
      </c>
      <c r="N49" s="73" t="str">
        <f t="shared" si="1"/>
        <v>#N/A</v>
      </c>
      <c r="O49" s="74" t="str">
        <f t="shared" si="2"/>
        <v>#N/A</v>
      </c>
      <c r="P49" s="3"/>
      <c r="Q49" s="68"/>
      <c r="R49" s="68"/>
      <c r="S49" s="3"/>
      <c r="T49" s="3"/>
      <c r="U49" s="3"/>
      <c r="V49" s="3"/>
      <c r="W49" s="3"/>
      <c r="X49" s="3"/>
    </row>
    <row r="50">
      <c r="A50" s="3"/>
      <c r="B50" s="3"/>
      <c r="C50" s="3"/>
      <c r="D50" s="3"/>
      <c r="E50" s="15">
        <v>46241.0</v>
      </c>
      <c r="F50" s="16" t="s">
        <v>11</v>
      </c>
      <c r="G50" s="23">
        <v>3040.0</v>
      </c>
      <c r="H50" s="18"/>
      <c r="I50" s="3"/>
      <c r="J50" s="75">
        <f t="shared" si="3"/>
        <v>46233</v>
      </c>
      <c r="K50" s="71">
        <f>SUMIF(E5:E127,J50,G5:G127)</f>
        <v>7759</v>
      </c>
      <c r="L50" s="76">
        <f t="shared" si="4"/>
        <v>26949</v>
      </c>
      <c r="M50" s="72">
        <f>M45*6</f>
        <v>38154.96774</v>
      </c>
      <c r="N50" s="73" t="str">
        <f t="shared" si="1"/>
        <v>#N/A</v>
      </c>
      <c r="O50" s="74" t="str">
        <f t="shared" si="2"/>
        <v>#N/A</v>
      </c>
      <c r="P50" s="3"/>
      <c r="Q50" s="68"/>
      <c r="R50" s="68"/>
      <c r="S50" s="3"/>
      <c r="T50" s="3"/>
      <c r="U50" s="3"/>
      <c r="V50" s="3"/>
      <c r="W50" s="3"/>
      <c r="X50" s="3"/>
    </row>
    <row r="51">
      <c r="A51" s="3"/>
      <c r="B51" s="3"/>
      <c r="C51" s="3"/>
      <c r="D51" s="3"/>
      <c r="E51" s="15">
        <v>46241.0</v>
      </c>
      <c r="F51" s="16" t="s">
        <v>40</v>
      </c>
      <c r="G51" s="23">
        <v>150.0</v>
      </c>
      <c r="H51" s="18"/>
      <c r="I51" s="3"/>
      <c r="J51" s="75">
        <f t="shared" si="3"/>
        <v>46234</v>
      </c>
      <c r="K51" s="71">
        <f>SUMIF(E5:E127,J51,G5:G127)</f>
        <v>4287</v>
      </c>
      <c r="L51" s="76">
        <f t="shared" si="4"/>
        <v>31236</v>
      </c>
      <c r="M51" s="72">
        <f>M45*7</f>
        <v>44514.12903</v>
      </c>
      <c r="N51" s="73" t="str">
        <f t="shared" si="1"/>
        <v>#N/A</v>
      </c>
      <c r="O51" s="74" t="str">
        <f t="shared" si="2"/>
        <v>#N/A</v>
      </c>
      <c r="P51" s="3"/>
      <c r="Q51" s="68"/>
      <c r="R51" s="68"/>
      <c r="S51" s="3"/>
      <c r="T51" s="3"/>
      <c r="U51" s="3"/>
      <c r="V51" s="3"/>
      <c r="W51" s="3"/>
      <c r="X51" s="3"/>
    </row>
    <row r="52">
      <c r="A52" s="3"/>
      <c r="B52" s="3"/>
      <c r="C52" s="3"/>
      <c r="D52" s="3"/>
      <c r="E52" s="15">
        <v>46242.0</v>
      </c>
      <c r="F52" s="16" t="s">
        <v>11</v>
      </c>
      <c r="G52" s="23">
        <v>1782.0</v>
      </c>
      <c r="H52" s="23"/>
      <c r="I52" s="3"/>
      <c r="J52" s="75">
        <f t="shared" si="3"/>
        <v>46235</v>
      </c>
      <c r="K52" s="71">
        <f>SUMIF(E5:E127,J52,G5:G127)</f>
        <v>6741</v>
      </c>
      <c r="L52" s="76">
        <f t="shared" si="4"/>
        <v>37977</v>
      </c>
      <c r="M52" s="72">
        <f>M45*8</f>
        <v>50873.29032</v>
      </c>
      <c r="N52" s="73" t="str">
        <f t="shared" si="1"/>
        <v>#N/A</v>
      </c>
      <c r="O52" s="74" t="str">
        <f t="shared" si="2"/>
        <v>#N/A</v>
      </c>
      <c r="P52" s="3"/>
      <c r="Q52" s="68"/>
      <c r="R52" s="68"/>
      <c r="S52" s="3"/>
      <c r="T52" s="3"/>
      <c r="U52" s="3"/>
      <c r="V52" s="3"/>
      <c r="W52" s="3"/>
      <c r="X52" s="3"/>
    </row>
    <row r="53">
      <c r="A53" s="3"/>
      <c r="B53" s="3"/>
      <c r="C53" s="3"/>
      <c r="D53" s="3"/>
      <c r="E53" s="15">
        <v>46242.0</v>
      </c>
      <c r="F53" s="16" t="s">
        <v>40</v>
      </c>
      <c r="G53" s="23">
        <v>6560.0</v>
      </c>
      <c r="H53" s="18"/>
      <c r="I53" s="3"/>
      <c r="J53" s="75">
        <f t="shared" si="3"/>
        <v>46236</v>
      </c>
      <c r="K53" s="71">
        <f>SUMIF(E5:E127,J53,G5:G127)</f>
        <v>6136</v>
      </c>
      <c r="L53" s="76">
        <f t="shared" si="4"/>
        <v>44113</v>
      </c>
      <c r="M53" s="72">
        <f>M45*9</f>
        <v>57232.45161</v>
      </c>
      <c r="N53" s="73" t="str">
        <f t="shared" si="1"/>
        <v>#N/A</v>
      </c>
      <c r="O53" s="74" t="str">
        <f t="shared" si="2"/>
        <v>#N/A</v>
      </c>
      <c r="P53" s="3"/>
      <c r="Q53" s="68"/>
      <c r="R53" s="68"/>
      <c r="S53" s="3"/>
      <c r="T53" s="3"/>
      <c r="U53" s="3"/>
      <c r="V53" s="3"/>
      <c r="W53" s="3"/>
      <c r="X53" s="3"/>
    </row>
    <row r="54">
      <c r="A54" s="3"/>
      <c r="B54" s="3"/>
      <c r="C54" s="3"/>
      <c r="D54" s="3"/>
      <c r="E54" s="15">
        <v>46242.0</v>
      </c>
      <c r="F54" s="16" t="s">
        <v>13</v>
      </c>
      <c r="G54" s="23">
        <v>258.0</v>
      </c>
      <c r="H54" s="18"/>
      <c r="I54" s="3"/>
      <c r="J54" s="75">
        <f t="shared" si="3"/>
        <v>46237</v>
      </c>
      <c r="K54" s="71">
        <f>SUMIF(E5:E127,J54,G5:G127)</f>
        <v>1198</v>
      </c>
      <c r="L54" s="76">
        <f t="shared" si="4"/>
        <v>45311</v>
      </c>
      <c r="M54" s="72">
        <f>M45*10</f>
        <v>63591.6129</v>
      </c>
      <c r="N54" s="73" t="str">
        <f t="shared" si="1"/>
        <v>#N/A</v>
      </c>
      <c r="O54" s="74" t="str">
        <f t="shared" si="2"/>
        <v>#N/A</v>
      </c>
      <c r="P54" s="3"/>
      <c r="Q54" s="68"/>
      <c r="R54" s="68"/>
      <c r="S54" s="3"/>
      <c r="T54" s="3"/>
      <c r="U54" s="3"/>
      <c r="V54" s="3"/>
      <c r="W54" s="3"/>
      <c r="X54" s="3"/>
    </row>
    <row r="55">
      <c r="A55" s="3"/>
      <c r="B55" s="3"/>
      <c r="C55" s="3"/>
      <c r="D55" s="3"/>
      <c r="E55" s="15">
        <v>46242.0</v>
      </c>
      <c r="F55" s="16" t="s">
        <v>9</v>
      </c>
      <c r="G55" s="23">
        <v>1845.0</v>
      </c>
      <c r="H55" s="18"/>
      <c r="I55" s="3"/>
      <c r="J55" s="75">
        <f t="shared" si="3"/>
        <v>46238</v>
      </c>
      <c r="K55" s="71">
        <f>SUMIF(E5:E127,J55,G5:G127)</f>
        <v>6550</v>
      </c>
      <c r="L55" s="76">
        <f t="shared" si="4"/>
        <v>51861</v>
      </c>
      <c r="M55" s="72">
        <f>M45*11</f>
        <v>69950.77419</v>
      </c>
      <c r="N55" s="73" t="str">
        <f t="shared" si="1"/>
        <v>#N/A</v>
      </c>
      <c r="O55" s="74" t="str">
        <f t="shared" si="2"/>
        <v>#N/A</v>
      </c>
      <c r="P55" s="3"/>
      <c r="Q55" s="3"/>
      <c r="R55" s="3"/>
      <c r="S55" s="3"/>
      <c r="T55" s="3"/>
      <c r="U55" s="3"/>
      <c r="V55" s="3"/>
      <c r="W55" s="3"/>
      <c r="X55" s="3"/>
    </row>
    <row r="56">
      <c r="A56" s="3"/>
      <c r="B56" s="3"/>
      <c r="C56" s="3"/>
      <c r="D56" s="3"/>
      <c r="E56" s="15">
        <v>46242.0</v>
      </c>
      <c r="F56" s="16" t="s">
        <v>40</v>
      </c>
      <c r="G56" s="23">
        <v>290.0</v>
      </c>
      <c r="H56" s="18"/>
      <c r="I56" s="3"/>
      <c r="J56" s="75">
        <f t="shared" si="3"/>
        <v>46239</v>
      </c>
      <c r="K56" s="71">
        <f>SUMIF(E5:E127,J56,G5:G127)</f>
        <v>3328</v>
      </c>
      <c r="L56" s="76">
        <f t="shared" si="4"/>
        <v>55189</v>
      </c>
      <c r="M56" s="72">
        <f>M45*12</f>
        <v>76309.93548</v>
      </c>
      <c r="N56" s="73" t="str">
        <f t="shared" si="1"/>
        <v>#N/A</v>
      </c>
      <c r="O56" s="74" t="str">
        <f t="shared" si="2"/>
        <v>#N/A</v>
      </c>
      <c r="P56" s="3"/>
      <c r="Q56" s="3"/>
      <c r="R56" s="3"/>
      <c r="S56" s="3"/>
      <c r="T56" s="3"/>
      <c r="U56" s="3"/>
      <c r="V56" s="3"/>
      <c r="W56" s="3"/>
      <c r="X56" s="3"/>
    </row>
    <row r="57">
      <c r="A57" s="3"/>
      <c r="B57" s="3"/>
      <c r="C57" s="3"/>
      <c r="D57" s="3"/>
      <c r="E57" s="15">
        <v>46243.0</v>
      </c>
      <c r="F57" s="16" t="s">
        <v>13</v>
      </c>
      <c r="G57" s="23">
        <v>280.0</v>
      </c>
      <c r="H57" s="18"/>
      <c r="I57" s="3"/>
      <c r="J57" s="75">
        <f t="shared" si="3"/>
        <v>46240</v>
      </c>
      <c r="K57" s="71">
        <f>SUMIF(E5:E127,J57,G5:G127)</f>
        <v>4317</v>
      </c>
      <c r="L57" s="76">
        <f t="shared" si="4"/>
        <v>59506</v>
      </c>
      <c r="M57" s="72">
        <f>M45*13</f>
        <v>82669.09677</v>
      </c>
      <c r="N57" s="73" t="str">
        <f t="shared" si="1"/>
        <v>#N/A</v>
      </c>
      <c r="O57" s="74" t="str">
        <f t="shared" si="2"/>
        <v>#N/A</v>
      </c>
      <c r="P57" s="3"/>
      <c r="Q57" s="3"/>
      <c r="R57" s="3"/>
      <c r="S57" s="3"/>
      <c r="T57" s="3"/>
      <c r="U57" s="3"/>
      <c r="V57" s="3"/>
      <c r="W57" s="3"/>
      <c r="X57" s="3"/>
    </row>
    <row r="58">
      <c r="A58" s="3"/>
      <c r="B58" s="3"/>
      <c r="C58" s="3"/>
      <c r="D58" s="3"/>
      <c r="E58" s="15">
        <v>46243.0</v>
      </c>
      <c r="F58" s="16" t="s">
        <v>40</v>
      </c>
      <c r="G58" s="23">
        <v>1210.0</v>
      </c>
      <c r="H58" s="18"/>
      <c r="I58" s="3"/>
      <c r="J58" s="75">
        <f t="shared" si="3"/>
        <v>46241</v>
      </c>
      <c r="K58" s="71">
        <f>SUMIF(E5:E127,J58,G5:G127)</f>
        <v>4873</v>
      </c>
      <c r="L58" s="76">
        <f t="shared" si="4"/>
        <v>64379</v>
      </c>
      <c r="M58" s="72">
        <f>M45*14</f>
        <v>89028.25806</v>
      </c>
      <c r="N58" s="73" t="str">
        <f t="shared" si="1"/>
        <v>#N/A</v>
      </c>
      <c r="O58" s="74" t="str">
        <f t="shared" si="2"/>
        <v>#N/A</v>
      </c>
      <c r="P58" s="3"/>
      <c r="Q58" s="3"/>
      <c r="R58" s="3"/>
      <c r="S58" s="3"/>
      <c r="T58" s="3"/>
      <c r="U58" s="3"/>
      <c r="V58" s="3"/>
      <c r="W58" s="3"/>
      <c r="X58" s="3"/>
    </row>
    <row r="59">
      <c r="A59" s="3"/>
      <c r="B59" s="3"/>
      <c r="C59" s="3"/>
      <c r="D59" s="3"/>
      <c r="E59" s="15">
        <v>46244.0</v>
      </c>
      <c r="F59" s="16" t="s">
        <v>13</v>
      </c>
      <c r="G59" s="23">
        <v>676.0</v>
      </c>
      <c r="H59" s="18"/>
      <c r="I59" s="3"/>
      <c r="J59" s="75">
        <f t="shared" si="3"/>
        <v>46242</v>
      </c>
      <c r="K59" s="71">
        <f>SUMIF(E5:E127,J59,G5:G127)</f>
        <v>10735</v>
      </c>
      <c r="L59" s="76">
        <f t="shared" si="4"/>
        <v>75114</v>
      </c>
      <c r="M59" s="72">
        <f>M45*15</f>
        <v>95387.41935</v>
      </c>
      <c r="N59" s="73" t="str">
        <f t="shared" si="1"/>
        <v>#N/A</v>
      </c>
      <c r="O59" s="74" t="str">
        <f t="shared" si="2"/>
        <v>#N/A</v>
      </c>
      <c r="P59" s="3"/>
      <c r="Q59" s="3"/>
      <c r="R59" s="3"/>
      <c r="S59" s="3"/>
      <c r="T59" s="3"/>
      <c r="U59" s="3"/>
      <c r="V59" s="3"/>
      <c r="W59" s="3"/>
      <c r="X59" s="3"/>
    </row>
    <row r="60">
      <c r="A60" s="3"/>
      <c r="B60" s="3"/>
      <c r="C60" s="3"/>
      <c r="D60" s="3"/>
      <c r="E60" s="15">
        <v>46245.0</v>
      </c>
      <c r="F60" s="16" t="s">
        <v>13</v>
      </c>
      <c r="G60" s="23">
        <v>621.0</v>
      </c>
      <c r="H60" s="18"/>
      <c r="I60" s="3"/>
      <c r="J60" s="75">
        <f t="shared" si="3"/>
        <v>46243</v>
      </c>
      <c r="K60" s="71">
        <f>SUMIF(E5:E127,J60,G5:G127)</f>
        <v>1490</v>
      </c>
      <c r="L60" s="76">
        <f t="shared" si="4"/>
        <v>76604</v>
      </c>
      <c r="M60" s="72">
        <f>M45*16</f>
        <v>101746.5806</v>
      </c>
      <c r="N60" s="73" t="str">
        <f t="shared" si="1"/>
        <v>#N/A</v>
      </c>
      <c r="O60" s="74" t="str">
        <f t="shared" si="2"/>
        <v>#N/A</v>
      </c>
      <c r="P60" s="3"/>
      <c r="Q60" s="3"/>
      <c r="R60" s="3"/>
      <c r="S60" s="3"/>
      <c r="T60" s="3"/>
      <c r="U60" s="3"/>
      <c r="V60" s="3"/>
      <c r="W60" s="3"/>
      <c r="X60" s="3"/>
    </row>
    <row r="61">
      <c r="A61" s="3"/>
      <c r="B61" s="3"/>
      <c r="C61" s="3"/>
      <c r="D61" s="3"/>
      <c r="E61" s="15">
        <v>46245.0</v>
      </c>
      <c r="F61" s="16" t="s">
        <v>17</v>
      </c>
      <c r="G61" s="23">
        <v>1000.0</v>
      </c>
      <c r="H61" s="18"/>
      <c r="I61" s="3"/>
      <c r="J61" s="75">
        <f t="shared" si="3"/>
        <v>46244</v>
      </c>
      <c r="K61" s="71">
        <f>SUMIF(E5:E127,J61,G5:G127)</f>
        <v>676</v>
      </c>
      <c r="L61" s="76">
        <f t="shared" si="4"/>
        <v>77280</v>
      </c>
      <c r="M61" s="72">
        <f>M45*17</f>
        <v>108105.7419</v>
      </c>
      <c r="N61" s="73" t="str">
        <f t="shared" si="1"/>
        <v>#N/A</v>
      </c>
      <c r="O61" s="74" t="str">
        <f t="shared" si="2"/>
        <v>#N/A</v>
      </c>
      <c r="P61" s="3"/>
      <c r="Q61" s="3"/>
      <c r="R61" s="3"/>
      <c r="S61" s="3"/>
      <c r="T61" s="3"/>
      <c r="U61" s="3"/>
      <c r="V61" s="3"/>
      <c r="W61" s="3"/>
      <c r="X61" s="3"/>
    </row>
    <row r="62">
      <c r="A62" s="3"/>
      <c r="B62" s="3"/>
      <c r="C62" s="3"/>
      <c r="D62" s="3"/>
      <c r="E62" s="15">
        <v>46245.0</v>
      </c>
      <c r="F62" s="16" t="s">
        <v>16</v>
      </c>
      <c r="G62" s="23">
        <v>237.0</v>
      </c>
      <c r="H62" s="18"/>
      <c r="I62" s="3"/>
      <c r="J62" s="75">
        <f t="shared" si="3"/>
        <v>46245</v>
      </c>
      <c r="K62" s="71">
        <f>SUMIF(E5:E127,J62,G5:G127)</f>
        <v>4258</v>
      </c>
      <c r="L62" s="76">
        <f t="shared" si="4"/>
        <v>81538</v>
      </c>
      <c r="M62" s="72">
        <f>M45*18</f>
        <v>114464.9032</v>
      </c>
      <c r="N62" s="73" t="str">
        <f t="shared" si="1"/>
        <v>#N/A</v>
      </c>
      <c r="O62" s="74" t="str">
        <f t="shared" si="2"/>
        <v>#N/A</v>
      </c>
      <c r="P62" s="3"/>
      <c r="Q62" s="3"/>
      <c r="R62" s="3"/>
      <c r="S62" s="3"/>
      <c r="T62" s="3"/>
      <c r="U62" s="3"/>
      <c r="V62" s="3"/>
      <c r="W62" s="3"/>
      <c r="X62" s="3"/>
    </row>
    <row r="63">
      <c r="A63" s="3"/>
      <c r="B63" s="3"/>
      <c r="C63" s="3"/>
      <c r="D63" s="3"/>
      <c r="E63" s="15">
        <v>46245.0</v>
      </c>
      <c r="F63" s="16" t="s">
        <v>11</v>
      </c>
      <c r="G63" s="23">
        <v>2400.0</v>
      </c>
      <c r="H63" s="23"/>
      <c r="I63" s="3"/>
      <c r="J63" s="75">
        <f t="shared" si="3"/>
        <v>46246</v>
      </c>
      <c r="K63" s="71">
        <f>SUMIF(E5:E127,J63,G5:G127)</f>
        <v>1509</v>
      </c>
      <c r="L63" s="76">
        <f t="shared" si="4"/>
        <v>83047</v>
      </c>
      <c r="M63" s="72">
        <f>M45*19</f>
        <v>120824.0645</v>
      </c>
      <c r="N63" s="73" t="str">
        <f t="shared" si="1"/>
        <v>#N/A</v>
      </c>
      <c r="O63" s="74" t="str">
        <f t="shared" si="2"/>
        <v>#N/A</v>
      </c>
      <c r="P63" s="3"/>
      <c r="Q63" s="3"/>
      <c r="R63" s="3"/>
      <c r="S63" s="3"/>
      <c r="T63" s="3"/>
      <c r="U63" s="3"/>
      <c r="V63" s="3"/>
      <c r="W63" s="3"/>
      <c r="X63" s="3"/>
    </row>
    <row r="64">
      <c r="A64" s="3"/>
      <c r="B64" s="3"/>
      <c r="C64" s="3"/>
      <c r="D64" s="3"/>
      <c r="E64" s="15">
        <v>46246.0</v>
      </c>
      <c r="F64" s="16" t="s">
        <v>17</v>
      </c>
      <c r="G64" s="23">
        <v>1000.0</v>
      </c>
      <c r="H64" s="18"/>
      <c r="I64" s="3"/>
      <c r="J64" s="75">
        <f t="shared" si="3"/>
        <v>46247</v>
      </c>
      <c r="K64" s="71">
        <f>SUMIF(E5:E127,J64,G5:G127)</f>
        <v>3137</v>
      </c>
      <c r="L64" s="76">
        <f t="shared" si="4"/>
        <v>86184</v>
      </c>
      <c r="M64" s="72">
        <f>M45*20</f>
        <v>127183.2258</v>
      </c>
      <c r="N64" s="73" t="str">
        <f t="shared" si="1"/>
        <v>#N/A</v>
      </c>
      <c r="O64" s="74" t="str">
        <f t="shared" si="2"/>
        <v>#N/A</v>
      </c>
      <c r="P64" s="3"/>
      <c r="Q64" s="3"/>
      <c r="R64" s="3"/>
      <c r="S64" s="3"/>
      <c r="T64" s="3"/>
      <c r="U64" s="3"/>
      <c r="V64" s="3"/>
      <c r="W64" s="3"/>
      <c r="X64" s="3"/>
    </row>
    <row r="65">
      <c r="A65" s="3"/>
      <c r="B65" s="3"/>
      <c r="C65" s="3"/>
      <c r="D65" s="3"/>
      <c r="E65" s="15">
        <v>46246.0</v>
      </c>
      <c r="F65" s="16" t="s">
        <v>13</v>
      </c>
      <c r="G65" s="23">
        <v>388.0</v>
      </c>
      <c r="H65" s="23"/>
      <c r="I65" s="3"/>
      <c r="J65" s="75">
        <f t="shared" si="3"/>
        <v>46248</v>
      </c>
      <c r="K65" s="71">
        <f>SUMIF(E5:E127,J65,G5:G127)</f>
        <v>3380</v>
      </c>
      <c r="L65" s="76">
        <f t="shared" si="4"/>
        <v>89564</v>
      </c>
      <c r="M65" s="72">
        <f>M45*21</f>
        <v>133542.3871</v>
      </c>
      <c r="N65" s="73" t="str">
        <f t="shared" si="1"/>
        <v>#N/A</v>
      </c>
      <c r="O65" s="74" t="str">
        <f t="shared" si="2"/>
        <v>#N/A</v>
      </c>
      <c r="P65" s="3"/>
      <c r="Q65" s="3"/>
      <c r="R65" s="3"/>
      <c r="S65" s="3"/>
      <c r="T65" s="3"/>
      <c r="U65" s="3"/>
      <c r="V65" s="3"/>
      <c r="W65" s="3"/>
      <c r="X65" s="3"/>
    </row>
    <row r="66">
      <c r="A66" s="3"/>
      <c r="B66" s="3"/>
      <c r="C66" s="3"/>
      <c r="D66" s="3"/>
      <c r="E66" s="15">
        <v>46246.0</v>
      </c>
      <c r="F66" s="16" t="s">
        <v>13</v>
      </c>
      <c r="G66" s="23">
        <v>121.0</v>
      </c>
      <c r="H66" s="18"/>
      <c r="I66" s="3"/>
      <c r="J66" s="75">
        <f t="shared" si="3"/>
        <v>46249</v>
      </c>
      <c r="K66" s="71">
        <f>SUMIF(E5:E127,J66,G5:G127)</f>
        <v>2274</v>
      </c>
      <c r="L66" s="76">
        <f t="shared" si="4"/>
        <v>91838</v>
      </c>
      <c r="M66" s="72">
        <f>M45*22</f>
        <v>139901.5484</v>
      </c>
      <c r="N66" s="73" t="str">
        <f t="shared" si="1"/>
        <v>#N/A</v>
      </c>
      <c r="O66" s="74" t="str">
        <f t="shared" si="2"/>
        <v>#N/A</v>
      </c>
      <c r="P66" s="3"/>
      <c r="Q66" s="3"/>
      <c r="R66" s="3"/>
      <c r="S66" s="3"/>
      <c r="T66" s="3"/>
      <c r="U66" s="3"/>
      <c r="V66" s="3"/>
      <c r="W66" s="3"/>
      <c r="X66" s="3"/>
    </row>
    <row r="67">
      <c r="A67" s="3"/>
      <c r="B67" s="3"/>
      <c r="C67" s="3"/>
      <c r="D67" s="3"/>
      <c r="E67" s="15">
        <v>46247.0</v>
      </c>
      <c r="F67" s="16" t="s">
        <v>13</v>
      </c>
      <c r="G67" s="23">
        <v>673.0</v>
      </c>
      <c r="H67" s="18"/>
      <c r="I67" s="3"/>
      <c r="J67" s="75">
        <f t="shared" si="3"/>
        <v>46250</v>
      </c>
      <c r="K67" s="71">
        <f>SUMIF(E5:E127,J67,G5:G127)</f>
        <v>13266</v>
      </c>
      <c r="L67" s="76">
        <f t="shared" si="4"/>
        <v>105104</v>
      </c>
      <c r="M67" s="72">
        <f>M45*23</f>
        <v>146260.7097</v>
      </c>
      <c r="N67" s="73" t="str">
        <f t="shared" si="1"/>
        <v>#N/A</v>
      </c>
      <c r="O67" s="74" t="str">
        <f t="shared" si="2"/>
        <v>#N/A</v>
      </c>
      <c r="P67" s="3"/>
      <c r="Q67" s="3"/>
      <c r="R67" s="3"/>
      <c r="S67" s="3"/>
      <c r="T67" s="3"/>
      <c r="U67" s="3"/>
      <c r="V67" s="3"/>
      <c r="W67" s="3"/>
      <c r="X67" s="3"/>
    </row>
    <row r="68">
      <c r="A68" s="3"/>
      <c r="B68" s="3"/>
      <c r="C68" s="3"/>
      <c r="D68" s="3"/>
      <c r="E68" s="15">
        <v>46247.0</v>
      </c>
      <c r="F68" s="16" t="s">
        <v>9</v>
      </c>
      <c r="G68" s="23">
        <v>2464.0</v>
      </c>
      <c r="H68" s="18"/>
      <c r="I68" s="3"/>
      <c r="J68" s="75">
        <f t="shared" si="3"/>
        <v>46251</v>
      </c>
      <c r="K68" s="71">
        <f>SUMIF(E5:E127,J68,G5:G127)</f>
        <v>8875</v>
      </c>
      <c r="L68" s="76">
        <f t="shared" si="4"/>
        <v>113979</v>
      </c>
      <c r="M68" s="72">
        <f>M45*24</f>
        <v>152619.871</v>
      </c>
      <c r="N68" s="73" t="str">
        <f t="shared" si="1"/>
        <v>#N/A</v>
      </c>
      <c r="O68" s="74" t="str">
        <f t="shared" si="2"/>
        <v>#N/A</v>
      </c>
      <c r="P68" s="3"/>
      <c r="Q68" s="3"/>
      <c r="R68" s="3"/>
      <c r="S68" s="3"/>
      <c r="T68" s="3"/>
      <c r="U68" s="3"/>
      <c r="V68" s="3"/>
      <c r="W68" s="3"/>
      <c r="X68" s="3"/>
    </row>
    <row r="69">
      <c r="A69" s="3"/>
      <c r="B69" s="3"/>
      <c r="C69" s="3"/>
      <c r="D69" s="3"/>
      <c r="E69" s="15">
        <v>46248.0</v>
      </c>
      <c r="F69" s="16" t="s">
        <v>16</v>
      </c>
      <c r="G69" s="23">
        <v>3380.0</v>
      </c>
      <c r="H69" s="18"/>
      <c r="I69" s="3"/>
      <c r="J69" s="75">
        <f t="shared" si="3"/>
        <v>46252</v>
      </c>
      <c r="K69" s="71">
        <f>SUMIF(E5:E127,J69,G5:G127)</f>
        <v>5983</v>
      </c>
      <c r="L69" s="76">
        <f t="shared" si="4"/>
        <v>119962</v>
      </c>
      <c r="M69" s="72">
        <f>M45*25</f>
        <v>158979.0323</v>
      </c>
      <c r="N69" s="73" t="str">
        <f t="shared" si="1"/>
        <v>#N/A</v>
      </c>
      <c r="O69" s="74" t="str">
        <f t="shared" si="2"/>
        <v>#N/A</v>
      </c>
      <c r="P69" s="3"/>
      <c r="Q69" s="3"/>
      <c r="R69" s="3"/>
      <c r="S69" s="3"/>
      <c r="T69" s="3"/>
      <c r="U69" s="3"/>
      <c r="V69" s="3"/>
      <c r="W69" s="3"/>
      <c r="X69" s="3"/>
    </row>
    <row r="70">
      <c r="A70" s="3"/>
      <c r="B70" s="3"/>
      <c r="C70" s="3"/>
      <c r="D70" s="3"/>
      <c r="E70" s="15">
        <v>46249.0</v>
      </c>
      <c r="F70" s="16" t="s">
        <v>17</v>
      </c>
      <c r="G70" s="23">
        <v>1000.0</v>
      </c>
      <c r="H70" s="23"/>
      <c r="I70" s="3"/>
      <c r="J70" s="75">
        <f t="shared" si="3"/>
        <v>46253</v>
      </c>
      <c r="K70" s="71">
        <f>SUMIF(E5:E127,J70,G5:G127)</f>
        <v>11338</v>
      </c>
      <c r="L70" s="76">
        <f t="shared" si="4"/>
        <v>131300</v>
      </c>
      <c r="M70" s="72">
        <f>M45*26</f>
        <v>165338.1935</v>
      </c>
      <c r="N70" s="73" t="str">
        <f t="shared" si="1"/>
        <v>#N/A</v>
      </c>
      <c r="O70" s="74" t="str">
        <f t="shared" si="2"/>
        <v>#N/A</v>
      </c>
      <c r="P70" s="3"/>
      <c r="Q70" s="3"/>
      <c r="R70" s="3"/>
      <c r="S70" s="3"/>
      <c r="T70" s="3"/>
      <c r="U70" s="3"/>
      <c r="V70" s="3"/>
      <c r="W70" s="3"/>
      <c r="X70" s="3"/>
    </row>
    <row r="71">
      <c r="A71" s="3"/>
      <c r="B71" s="3"/>
      <c r="C71" s="3"/>
      <c r="D71" s="3"/>
      <c r="E71" s="15">
        <v>46249.0</v>
      </c>
      <c r="F71" s="16" t="s">
        <v>13</v>
      </c>
      <c r="G71" s="23">
        <v>438.0</v>
      </c>
      <c r="H71" s="18"/>
      <c r="I71" s="3"/>
      <c r="J71" s="75">
        <f t="shared" si="3"/>
        <v>46254</v>
      </c>
      <c r="K71" s="71">
        <f>SUMIF(E5:E127,J71,G5:G127)</f>
        <v>533</v>
      </c>
      <c r="L71" s="76">
        <f t="shared" si="4"/>
        <v>131833</v>
      </c>
      <c r="M71" s="72">
        <f>M45*27</f>
        <v>171697.3548</v>
      </c>
      <c r="N71" s="73" t="str">
        <f t="shared" si="1"/>
        <v>#N/A</v>
      </c>
      <c r="O71" s="74" t="str">
        <f t="shared" si="2"/>
        <v>#N/A</v>
      </c>
      <c r="P71" s="3"/>
      <c r="Q71" s="3"/>
      <c r="R71" s="3"/>
      <c r="S71" s="3"/>
      <c r="T71" s="3"/>
      <c r="U71" s="3"/>
      <c r="V71" s="3"/>
      <c r="W71" s="3"/>
      <c r="X71" s="3"/>
    </row>
    <row r="72">
      <c r="A72" s="3"/>
      <c r="B72" s="3"/>
      <c r="C72" s="3"/>
      <c r="D72" s="3"/>
      <c r="E72" s="15">
        <v>46249.0</v>
      </c>
      <c r="F72" s="16" t="s">
        <v>9</v>
      </c>
      <c r="G72" s="23">
        <v>400.0</v>
      </c>
      <c r="H72" s="18"/>
      <c r="I72" s="3"/>
      <c r="J72" s="75">
        <f t="shared" si="3"/>
        <v>46255</v>
      </c>
      <c r="K72" s="71">
        <f>SUMIF(E5:E127,J72,G5:G127)</f>
        <v>2150</v>
      </c>
      <c r="L72" s="76">
        <f t="shared" si="4"/>
        <v>133983</v>
      </c>
      <c r="M72" s="72">
        <f>M45*28</f>
        <v>178056.5161</v>
      </c>
      <c r="N72" s="73" t="str">
        <f t="shared" si="1"/>
        <v>#N/A</v>
      </c>
      <c r="O72" s="74" t="str">
        <f t="shared" si="2"/>
        <v>#N/A</v>
      </c>
      <c r="P72" s="3"/>
      <c r="Q72" s="3"/>
      <c r="R72" s="3"/>
      <c r="S72" s="3"/>
      <c r="T72" s="3"/>
      <c r="U72" s="3"/>
      <c r="V72" s="3"/>
      <c r="W72" s="3"/>
      <c r="X72" s="3"/>
    </row>
    <row r="73">
      <c r="A73" s="3"/>
      <c r="B73" s="3"/>
      <c r="C73" s="3"/>
      <c r="D73" s="3"/>
      <c r="E73" s="15">
        <v>46249.0</v>
      </c>
      <c r="F73" s="16" t="s">
        <v>13</v>
      </c>
      <c r="G73" s="23">
        <v>436.0</v>
      </c>
      <c r="H73" s="18"/>
      <c r="I73" s="3"/>
      <c r="J73" s="75">
        <f t="shared" si="3"/>
        <v>46256</v>
      </c>
      <c r="K73" s="71">
        <f>SUMIF(E5:E127,J73,G5:G127)</f>
        <v>9716</v>
      </c>
      <c r="L73" s="76">
        <f t="shared" si="4"/>
        <v>143699</v>
      </c>
      <c r="M73" s="72">
        <f>M45*29</f>
        <v>184415.6774</v>
      </c>
      <c r="N73" s="73" t="str">
        <f t="shared" si="1"/>
        <v>#N/A</v>
      </c>
      <c r="O73" s="74" t="str">
        <f t="shared" si="2"/>
        <v>#N/A</v>
      </c>
      <c r="P73" s="3"/>
      <c r="Q73" s="3"/>
      <c r="R73" s="3"/>
      <c r="S73" s="3"/>
      <c r="T73" s="3"/>
      <c r="U73" s="3"/>
      <c r="V73" s="3"/>
      <c r="W73" s="3"/>
      <c r="X73" s="3"/>
    </row>
    <row r="74">
      <c r="A74" s="3"/>
      <c r="B74" s="3"/>
      <c r="C74" s="3"/>
      <c r="D74" s="3"/>
      <c r="E74" s="15">
        <v>46250.0</v>
      </c>
      <c r="F74" s="16" t="s">
        <v>13</v>
      </c>
      <c r="G74" s="23">
        <v>563.0</v>
      </c>
      <c r="H74" s="18"/>
      <c r="I74" s="3"/>
      <c r="J74" s="75">
        <f t="shared" si="3"/>
        <v>46257</v>
      </c>
      <c r="K74" s="71">
        <f>SUMIF(E5:E127,J74,G5:G127)</f>
        <v>7457</v>
      </c>
      <c r="L74" s="76">
        <f t="shared" si="4"/>
        <v>151156</v>
      </c>
      <c r="M74" s="72">
        <f>M45*30</f>
        <v>190774.8387</v>
      </c>
      <c r="N74" s="73" t="str">
        <f t="shared" si="1"/>
        <v>#N/A</v>
      </c>
      <c r="O74" s="74" t="str">
        <f t="shared" si="2"/>
        <v>#N/A</v>
      </c>
      <c r="P74" s="3"/>
      <c r="Q74" s="3"/>
      <c r="R74" s="3"/>
      <c r="S74" s="3"/>
      <c r="T74" s="3"/>
      <c r="U74" s="3"/>
      <c r="V74" s="3"/>
      <c r="W74" s="3"/>
      <c r="X74" s="3"/>
    </row>
    <row r="75">
      <c r="A75" s="3"/>
      <c r="B75" s="3"/>
      <c r="C75" s="3"/>
      <c r="D75" s="3"/>
      <c r="E75" s="15">
        <v>46250.0</v>
      </c>
      <c r="F75" s="16" t="s">
        <v>17</v>
      </c>
      <c r="G75" s="23">
        <v>1000.0</v>
      </c>
      <c r="H75" s="18"/>
      <c r="I75" s="3"/>
      <c r="J75" s="75">
        <f t="shared" si="3"/>
        <v>46258</v>
      </c>
      <c r="K75" s="71">
        <f>SUMIF(E5:E127,J75,G5:G127)</f>
        <v>2940</v>
      </c>
      <c r="L75" s="76">
        <f t="shared" si="4"/>
        <v>154096</v>
      </c>
      <c r="M75" s="72">
        <f>M45*31</f>
        <v>197134</v>
      </c>
      <c r="N75" s="73" t="str">
        <f t="shared" si="1"/>
        <v>#N/A</v>
      </c>
      <c r="O75" s="74" t="str">
        <f t="shared" si="2"/>
        <v>#N/A</v>
      </c>
      <c r="P75" s="3"/>
      <c r="Q75" s="3"/>
      <c r="R75" s="3"/>
      <c r="S75" s="3"/>
      <c r="T75" s="3"/>
      <c r="U75" s="3"/>
      <c r="V75" s="3"/>
      <c r="W75" s="3"/>
      <c r="X75" s="3"/>
    </row>
    <row r="76">
      <c r="A76" s="3"/>
      <c r="B76" s="3"/>
      <c r="C76" s="3"/>
      <c r="D76" s="3"/>
      <c r="E76" s="15">
        <v>46250.0</v>
      </c>
      <c r="F76" s="16" t="s">
        <v>41</v>
      </c>
      <c r="G76" s="23">
        <v>5749.0</v>
      </c>
      <c r="H76" s="18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>
      <c r="A77" s="3"/>
      <c r="B77" s="3"/>
      <c r="C77" s="3"/>
      <c r="D77" s="3"/>
      <c r="E77" s="15">
        <v>46250.0</v>
      </c>
      <c r="F77" s="16" t="s">
        <v>16</v>
      </c>
      <c r="G77" s="23">
        <v>2244.0</v>
      </c>
      <c r="H77" s="18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>
      <c r="A78" s="3"/>
      <c r="B78" s="3"/>
      <c r="C78" s="3"/>
      <c r="D78" s="3"/>
      <c r="E78" s="15">
        <v>46250.0</v>
      </c>
      <c r="F78" s="16" t="s">
        <v>11</v>
      </c>
      <c r="G78" s="23">
        <v>3710.0</v>
      </c>
      <c r="H78" s="18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>
      <c r="A79" s="3"/>
      <c r="B79" s="3"/>
      <c r="C79" s="3"/>
      <c r="D79" s="3"/>
      <c r="E79" s="15">
        <v>46251.0</v>
      </c>
      <c r="F79" s="16" t="s">
        <v>13</v>
      </c>
      <c r="G79" s="23">
        <v>713.0</v>
      </c>
      <c r="H79" s="18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>
      <c r="A80" s="3"/>
      <c r="B80" s="3"/>
      <c r="C80" s="3"/>
      <c r="D80" s="3"/>
      <c r="E80" s="15">
        <v>46251.0</v>
      </c>
      <c r="F80" s="16" t="s">
        <v>9</v>
      </c>
      <c r="G80" s="23">
        <v>5450.0</v>
      </c>
      <c r="H80" s="18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>
      <c r="A81" s="3"/>
      <c r="B81" s="3"/>
      <c r="C81" s="3"/>
      <c r="D81" s="3"/>
      <c r="E81" s="15">
        <v>46251.0</v>
      </c>
      <c r="F81" s="16" t="s">
        <v>14</v>
      </c>
      <c r="G81" s="23">
        <v>2712.0</v>
      </c>
      <c r="H81" s="18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>
      <c r="A82" s="3"/>
      <c r="B82" s="3"/>
      <c r="C82" s="3"/>
      <c r="D82" s="3"/>
      <c r="E82" s="15">
        <v>46252.0</v>
      </c>
      <c r="F82" s="16" t="s">
        <v>11</v>
      </c>
      <c r="G82" s="23">
        <v>5638.0</v>
      </c>
      <c r="H82" s="18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>
      <c r="A83" s="3"/>
      <c r="B83" s="3"/>
      <c r="C83" s="3"/>
      <c r="D83" s="3"/>
      <c r="E83" s="15">
        <v>46252.0</v>
      </c>
      <c r="F83" s="16" t="s">
        <v>13</v>
      </c>
      <c r="G83" s="23">
        <v>345.0</v>
      </c>
      <c r="H83" s="18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>
      <c r="A84" s="3"/>
      <c r="B84" s="3"/>
      <c r="C84" s="3"/>
      <c r="D84" s="3"/>
      <c r="E84" s="15">
        <v>46253.0</v>
      </c>
      <c r="F84" s="16" t="s">
        <v>13</v>
      </c>
      <c r="G84" s="23">
        <v>441.0</v>
      </c>
      <c r="H84" s="18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>
      <c r="A85" s="3"/>
      <c r="B85" s="3"/>
      <c r="C85" s="3"/>
      <c r="D85" s="3"/>
      <c r="E85" s="15">
        <v>46253.0</v>
      </c>
      <c r="F85" s="16" t="s">
        <v>11</v>
      </c>
      <c r="G85" s="23">
        <v>1390.0</v>
      </c>
      <c r="H85" s="18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>
      <c r="A86" s="3"/>
      <c r="B86" s="3"/>
      <c r="C86" s="3"/>
      <c r="D86" s="3"/>
      <c r="E86" s="15">
        <v>46253.0</v>
      </c>
      <c r="F86" s="16" t="s">
        <v>11</v>
      </c>
      <c r="G86" s="23">
        <v>850.0</v>
      </c>
      <c r="H86" s="18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>
      <c r="A87" s="3"/>
      <c r="B87" s="3"/>
      <c r="C87" s="3"/>
      <c r="D87" s="3"/>
      <c r="E87" s="15">
        <v>46253.0</v>
      </c>
      <c r="F87" s="16" t="s">
        <v>13</v>
      </c>
      <c r="G87" s="23">
        <v>761.0</v>
      </c>
      <c r="H87" s="18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>
      <c r="A88" s="3"/>
      <c r="B88" s="3"/>
      <c r="C88" s="3"/>
      <c r="D88" s="3"/>
      <c r="E88" s="15">
        <v>46253.0</v>
      </c>
      <c r="F88" s="16" t="s">
        <v>16</v>
      </c>
      <c r="G88" s="23">
        <v>6896.0</v>
      </c>
      <c r="H88" s="18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>
      <c r="A89" s="3"/>
      <c r="B89" s="3"/>
      <c r="C89" s="3"/>
      <c r="D89" s="3"/>
      <c r="E89" s="15">
        <v>46253.0</v>
      </c>
      <c r="F89" s="16" t="s">
        <v>17</v>
      </c>
      <c r="G89" s="23">
        <v>1000.0</v>
      </c>
      <c r="H89" s="18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>
      <c r="A90" s="3"/>
      <c r="B90" s="3"/>
      <c r="C90" s="3"/>
      <c r="D90" s="3"/>
      <c r="E90" s="15">
        <v>46254.0</v>
      </c>
      <c r="F90" s="16" t="s">
        <v>13</v>
      </c>
      <c r="G90" s="23">
        <v>533.0</v>
      </c>
      <c r="H90" s="18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>
      <c r="A91" s="3"/>
      <c r="B91" s="3"/>
      <c r="C91" s="3"/>
      <c r="D91" s="3"/>
      <c r="E91" s="15">
        <v>46255.0</v>
      </c>
      <c r="F91" s="16" t="s">
        <v>17</v>
      </c>
      <c r="G91" s="23">
        <v>1000.0</v>
      </c>
      <c r="H91" s="18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>
      <c r="A92" s="3"/>
      <c r="B92" s="3"/>
      <c r="C92" s="3"/>
      <c r="D92" s="3"/>
      <c r="E92" s="15">
        <v>46255.0</v>
      </c>
      <c r="F92" s="16" t="s">
        <v>11</v>
      </c>
      <c r="G92" s="23">
        <v>1150.0</v>
      </c>
      <c r="H92" s="18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>
      <c r="A93" s="3"/>
      <c r="B93" s="3"/>
      <c r="C93" s="3"/>
      <c r="D93" s="3"/>
      <c r="E93" s="15">
        <v>46256.0</v>
      </c>
      <c r="F93" s="16" t="s">
        <v>11</v>
      </c>
      <c r="G93" s="23">
        <v>2160.0</v>
      </c>
      <c r="H93" s="18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>
      <c r="A94" s="3"/>
      <c r="B94" s="3"/>
      <c r="C94" s="3"/>
      <c r="D94" s="3"/>
      <c r="E94" s="15">
        <v>46256.0</v>
      </c>
      <c r="F94" s="16" t="s">
        <v>40</v>
      </c>
      <c r="G94" s="23">
        <v>1800.0</v>
      </c>
      <c r="H94" s="18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>
      <c r="A95" s="3"/>
      <c r="B95" s="3"/>
      <c r="C95" s="3"/>
      <c r="D95" s="3"/>
      <c r="E95" s="15">
        <v>46256.0</v>
      </c>
      <c r="F95" s="16" t="s">
        <v>41</v>
      </c>
      <c r="G95" s="23">
        <v>1233.0</v>
      </c>
      <c r="H95" s="18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>
      <c r="A96" s="3"/>
      <c r="B96" s="3"/>
      <c r="C96" s="3"/>
      <c r="D96" s="3"/>
      <c r="E96" s="15">
        <v>46256.0</v>
      </c>
      <c r="F96" s="16" t="s">
        <v>13</v>
      </c>
      <c r="G96" s="23">
        <v>632.0</v>
      </c>
      <c r="H96" s="18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>
      <c r="A97" s="3"/>
      <c r="B97" s="3"/>
      <c r="C97" s="3"/>
      <c r="D97" s="3"/>
      <c r="E97" s="15">
        <v>46256.0</v>
      </c>
      <c r="F97" s="16" t="s">
        <v>16</v>
      </c>
      <c r="G97" s="23">
        <v>3891.0</v>
      </c>
      <c r="H97" s="18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>
      <c r="A98" s="3"/>
      <c r="B98" s="3"/>
      <c r="C98" s="3"/>
      <c r="D98" s="3"/>
      <c r="E98" s="15">
        <v>46257.0</v>
      </c>
      <c r="F98" s="16" t="s">
        <v>40</v>
      </c>
      <c r="G98" s="23">
        <v>3120.0</v>
      </c>
      <c r="H98" s="18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>
      <c r="A99" s="3"/>
      <c r="B99" s="3"/>
      <c r="C99" s="3"/>
      <c r="D99" s="3"/>
      <c r="E99" s="15">
        <v>46257.0</v>
      </c>
      <c r="F99" s="16" t="s">
        <v>11</v>
      </c>
      <c r="G99" s="23">
        <v>3170.0</v>
      </c>
      <c r="H99" s="18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>
      <c r="A100" s="3"/>
      <c r="B100" s="3"/>
      <c r="C100" s="3"/>
      <c r="D100" s="3"/>
      <c r="E100" s="15">
        <v>46257.0</v>
      </c>
      <c r="F100" s="16" t="s">
        <v>28</v>
      </c>
      <c r="G100" s="23">
        <v>573.0</v>
      </c>
      <c r="H100" s="18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>
      <c r="A101" s="3"/>
      <c r="B101" s="3"/>
      <c r="C101" s="3"/>
      <c r="D101" s="3"/>
      <c r="E101" s="15">
        <v>46257.0</v>
      </c>
      <c r="F101" s="16" t="s">
        <v>11</v>
      </c>
      <c r="G101" s="23">
        <v>594.0</v>
      </c>
      <c r="H101" s="18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>
      <c r="A102" s="3"/>
      <c r="B102" s="3"/>
      <c r="C102" s="3"/>
      <c r="D102" s="3"/>
      <c r="E102" s="15">
        <v>46258.0</v>
      </c>
      <c r="F102" s="16" t="s">
        <v>11</v>
      </c>
      <c r="G102" s="23">
        <v>1940.0</v>
      </c>
      <c r="H102" s="18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>
      <c r="A103" s="3"/>
      <c r="B103" s="3"/>
      <c r="C103" s="3"/>
      <c r="D103" s="3"/>
      <c r="E103" s="15">
        <v>46258.0</v>
      </c>
      <c r="F103" s="16" t="s">
        <v>17</v>
      </c>
      <c r="G103" s="23">
        <v>1000.0</v>
      </c>
      <c r="H103" s="18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>
      <c r="A104" s="3"/>
      <c r="B104" s="3"/>
      <c r="C104" s="3"/>
      <c r="D104" s="3"/>
      <c r="E104" s="15"/>
      <c r="F104" s="16"/>
      <c r="G104" s="23"/>
      <c r="H104" s="18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>
      <c r="A105" s="3"/>
      <c r="B105" s="3"/>
      <c r="C105" s="3"/>
      <c r="D105" s="3"/>
      <c r="E105" s="15"/>
      <c r="F105" s="16"/>
      <c r="G105" s="23"/>
      <c r="H105" s="18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>
      <c r="A106" s="3"/>
      <c r="B106" s="3"/>
      <c r="C106" s="3"/>
      <c r="D106" s="3"/>
      <c r="E106" s="15"/>
      <c r="F106" s="16"/>
      <c r="G106" s="23"/>
      <c r="H106" s="18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>
      <c r="A107" s="3"/>
      <c r="B107" s="3"/>
      <c r="C107" s="3"/>
      <c r="D107" s="3"/>
      <c r="E107" s="15"/>
      <c r="F107" s="16"/>
      <c r="G107" s="23"/>
      <c r="H107" s="18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>
      <c r="A108" s="3"/>
      <c r="B108" s="3"/>
      <c r="C108" s="3"/>
      <c r="D108" s="3"/>
      <c r="E108" s="15"/>
      <c r="F108" s="16"/>
      <c r="G108" s="23"/>
      <c r="H108" s="18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>
      <c r="A109" s="3"/>
      <c r="B109" s="3"/>
      <c r="C109" s="3"/>
      <c r="D109" s="3"/>
      <c r="E109" s="15"/>
      <c r="F109" s="16"/>
      <c r="G109" s="23"/>
      <c r="H109" s="18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>
      <c r="A110" s="3"/>
      <c r="B110" s="3"/>
      <c r="C110" s="3"/>
      <c r="D110" s="3"/>
      <c r="E110" s="15"/>
      <c r="F110" s="16"/>
      <c r="G110" s="23"/>
      <c r="H110" s="18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>
      <c r="A111" s="3"/>
      <c r="B111" s="3"/>
      <c r="C111" s="3"/>
      <c r="D111" s="3"/>
      <c r="E111" s="15"/>
      <c r="F111" s="16"/>
      <c r="G111" s="23"/>
      <c r="H111" s="18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>
      <c r="A112" s="3"/>
      <c r="B112" s="3"/>
      <c r="C112" s="3"/>
      <c r="D112" s="3"/>
      <c r="E112" s="15"/>
      <c r="F112" s="16"/>
      <c r="G112" s="23"/>
      <c r="H112" s="18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>
      <c r="A113" s="3"/>
      <c r="B113" s="3"/>
      <c r="C113" s="3"/>
      <c r="D113" s="3"/>
      <c r="E113" s="15"/>
      <c r="F113" s="16"/>
      <c r="G113" s="23"/>
      <c r="H113" s="18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>
      <c r="A114" s="3"/>
      <c r="B114" s="3"/>
      <c r="C114" s="3"/>
      <c r="D114" s="3"/>
      <c r="E114" s="15"/>
      <c r="F114" s="16"/>
      <c r="G114" s="23"/>
      <c r="H114" s="18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>
      <c r="A115" s="3"/>
      <c r="B115" s="3"/>
      <c r="C115" s="3"/>
      <c r="D115" s="3"/>
      <c r="E115" s="15"/>
      <c r="F115" s="16"/>
      <c r="G115" s="23"/>
      <c r="H115" s="18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>
      <c r="A116" s="3"/>
      <c r="B116" s="3"/>
      <c r="C116" s="3"/>
      <c r="D116" s="3"/>
      <c r="E116" s="15"/>
      <c r="F116" s="16"/>
      <c r="G116" s="23"/>
      <c r="H116" s="18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>
      <c r="A117" s="3"/>
      <c r="B117" s="3"/>
      <c r="C117" s="3"/>
      <c r="D117" s="3"/>
      <c r="E117" s="78"/>
      <c r="F117" s="79"/>
      <c r="G117" s="18"/>
      <c r="H117" s="18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>
      <c r="A118" s="3"/>
      <c r="B118" s="3"/>
      <c r="C118" s="3"/>
      <c r="D118" s="3"/>
      <c r="E118" s="78"/>
      <c r="F118" s="79"/>
      <c r="G118" s="18"/>
      <c r="H118" s="18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>
      <c r="A119" s="3"/>
      <c r="B119" s="3"/>
      <c r="C119" s="3"/>
      <c r="D119" s="3"/>
      <c r="E119" s="78"/>
      <c r="F119" s="79"/>
      <c r="G119" s="18"/>
      <c r="H119" s="18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>
      <c r="A120" s="3"/>
      <c r="B120" s="3"/>
      <c r="C120" s="3"/>
      <c r="D120" s="3"/>
      <c r="E120" s="78"/>
      <c r="F120" s="79"/>
      <c r="G120" s="18"/>
      <c r="H120" s="18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>
      <c r="A121" s="3"/>
      <c r="B121" s="3"/>
      <c r="C121" s="3"/>
      <c r="D121" s="3"/>
      <c r="E121" s="78"/>
      <c r="F121" s="79"/>
      <c r="G121" s="18"/>
      <c r="H121" s="18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>
      <c r="A122" s="3"/>
      <c r="B122" s="3"/>
      <c r="C122" s="3"/>
      <c r="D122" s="3"/>
      <c r="E122" s="78"/>
      <c r="F122" s="79"/>
      <c r="G122" s="18"/>
      <c r="H122" s="18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>
      <c r="A123" s="3"/>
      <c r="B123" s="3"/>
      <c r="C123" s="3"/>
      <c r="D123" s="3"/>
      <c r="E123" s="78"/>
      <c r="F123" s="16" t="s">
        <v>14</v>
      </c>
      <c r="G123" s="23">
        <v>8400.0</v>
      </c>
      <c r="H123" s="18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>
      <c r="A124" s="3"/>
      <c r="B124" s="3"/>
      <c r="C124" s="3"/>
      <c r="D124" s="3"/>
      <c r="E124" s="78"/>
      <c r="F124" s="16" t="s">
        <v>14</v>
      </c>
      <c r="G124" s="23">
        <v>8509.0</v>
      </c>
      <c r="H124" s="18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>
      <c r="A125" s="3"/>
      <c r="B125" s="3"/>
      <c r="C125" s="3"/>
      <c r="D125" s="3"/>
      <c r="E125" s="78"/>
      <c r="F125" s="16" t="s">
        <v>40</v>
      </c>
      <c r="G125" s="23">
        <v>8197.0</v>
      </c>
      <c r="H125" s="18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>
      <c r="A126" s="3"/>
      <c r="B126" s="3"/>
      <c r="C126" s="3"/>
      <c r="D126" s="3"/>
      <c r="E126" s="78"/>
      <c r="F126" s="16" t="s">
        <v>41</v>
      </c>
      <c r="G126" s="23">
        <v>8250.0</v>
      </c>
      <c r="H126" s="18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>
      <c r="A127" s="3"/>
      <c r="B127" s="3"/>
      <c r="C127" s="3"/>
      <c r="D127" s="3"/>
      <c r="E127" s="78"/>
      <c r="F127" s="16" t="s">
        <v>40</v>
      </c>
      <c r="G127" s="23">
        <v>7200.0</v>
      </c>
      <c r="H127" s="18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194652</v>
      </c>
      <c r="H128" s="8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>
      <c r="A129" s="3"/>
      <c r="B129" s="3"/>
      <c r="C129" s="3"/>
      <c r="D129" s="3"/>
      <c r="E129" s="4"/>
      <c r="F129" s="3"/>
      <c r="G129" s="5"/>
      <c r="H129" s="5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>
      <c r="A130" s="3"/>
      <c r="B130" s="3"/>
      <c r="C130" s="3"/>
      <c r="D130" s="3"/>
      <c r="E130" s="4"/>
      <c r="F130" s="3"/>
      <c r="G130" s="5"/>
      <c r="H130" s="5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>
      <c r="A131" s="3"/>
      <c r="B131" s="3"/>
      <c r="C131" s="3"/>
      <c r="D131" s="3"/>
      <c r="E131" s="4"/>
      <c r="F131" s="3"/>
      <c r="G131" s="5"/>
      <c r="H131" s="5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>
      <c r="A132" s="3"/>
      <c r="B132" s="3"/>
      <c r="C132" s="3"/>
      <c r="D132" s="3"/>
      <c r="E132" s="4"/>
      <c r="F132" s="3"/>
      <c r="G132" s="5"/>
      <c r="H132" s="5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>
      <c r="A133" s="3"/>
      <c r="B133" s="3"/>
      <c r="C133" s="3"/>
      <c r="D133" s="3"/>
      <c r="E133" s="4"/>
      <c r="F133" s="3"/>
      <c r="G133" s="5"/>
      <c r="H133" s="5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>
      <c r="A134" s="3"/>
      <c r="B134" s="3"/>
      <c r="C134" s="3"/>
      <c r="D134" s="3"/>
      <c r="E134" s="4"/>
      <c r="F134" s="3"/>
      <c r="G134" s="5"/>
      <c r="H134" s="5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>
      <c r="A135" s="3"/>
      <c r="B135" s="3"/>
      <c r="C135" s="3"/>
      <c r="D135" s="3"/>
      <c r="E135" s="4"/>
      <c r="F135" s="3"/>
      <c r="G135" s="5"/>
      <c r="H135" s="5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>
      <c r="A136" s="3"/>
      <c r="B136" s="3"/>
      <c r="C136" s="3"/>
      <c r="D136" s="3"/>
      <c r="E136" s="4"/>
      <c r="F136" s="3"/>
      <c r="G136" s="5"/>
      <c r="H136" s="5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>
      <c r="A137" s="3"/>
      <c r="B137" s="3"/>
      <c r="C137" s="3"/>
      <c r="D137" s="3"/>
      <c r="E137" s="4"/>
      <c r="F137" s="3"/>
      <c r="G137" s="5"/>
      <c r="H137" s="5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>
      <c r="A138" s="3"/>
      <c r="B138" s="3"/>
      <c r="C138" s="3"/>
      <c r="D138" s="3"/>
      <c r="E138" s="4"/>
      <c r="F138" s="3"/>
      <c r="G138" s="5"/>
      <c r="H138" s="5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>
      <c r="A139" s="3"/>
      <c r="B139" s="3"/>
      <c r="C139" s="3"/>
      <c r="D139" s="3"/>
      <c r="E139" s="4"/>
      <c r="F139" s="3"/>
      <c r="G139" s="5"/>
      <c r="H139" s="5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>
      <c r="A140" s="3"/>
      <c r="B140" s="3"/>
      <c r="C140" s="3"/>
      <c r="D140" s="3"/>
      <c r="E140" s="4"/>
      <c r="F140" s="3"/>
      <c r="G140" s="5"/>
      <c r="H140" s="5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>
      <c r="A141" s="3"/>
      <c r="B141" s="3"/>
      <c r="C141" s="3"/>
      <c r="D141" s="3"/>
      <c r="E141" s="4"/>
      <c r="F141" s="3"/>
      <c r="G141" s="5"/>
      <c r="H141" s="5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>
      <c r="A142" s="3"/>
      <c r="B142" s="3"/>
      <c r="C142" s="3"/>
      <c r="D142" s="3"/>
      <c r="E142" s="4"/>
      <c r="F142" s="3"/>
      <c r="G142" s="5"/>
      <c r="H142" s="5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>
      <c r="A143" s="3"/>
      <c r="B143" s="3"/>
      <c r="C143" s="3"/>
      <c r="D143" s="3"/>
      <c r="E143" s="4"/>
      <c r="F143" s="3"/>
      <c r="G143" s="5"/>
      <c r="H143" s="5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>
      <c r="A144" s="3"/>
      <c r="B144" s="3"/>
      <c r="C144" s="3"/>
      <c r="D144" s="3"/>
      <c r="E144" s="4"/>
      <c r="F144" s="3"/>
      <c r="G144" s="5"/>
      <c r="H144" s="5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>
      <c r="A145" s="3"/>
      <c r="B145" s="3"/>
      <c r="C145" s="3"/>
      <c r="D145" s="3"/>
      <c r="E145" s="4"/>
      <c r="F145" s="3"/>
      <c r="G145" s="5"/>
      <c r="H145" s="5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>
      <c r="A146" s="3"/>
      <c r="B146" s="3"/>
      <c r="C146" s="3"/>
      <c r="D146" s="3"/>
      <c r="E146" s="4"/>
      <c r="F146" s="3"/>
      <c r="G146" s="5"/>
      <c r="H146" s="5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>
      <c r="A147" s="3"/>
      <c r="B147" s="3"/>
      <c r="C147" s="3"/>
      <c r="D147" s="3"/>
      <c r="E147" s="4"/>
      <c r="F147" s="3"/>
      <c r="G147" s="5"/>
      <c r="H147" s="5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>
      <c r="A148" s="3"/>
      <c r="B148" s="3"/>
      <c r="C148" s="3"/>
      <c r="D148" s="3"/>
      <c r="E148" s="4"/>
      <c r="F148" s="3"/>
      <c r="G148" s="5"/>
      <c r="H148" s="5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>
      <c r="A149" s="3"/>
      <c r="B149" s="3"/>
      <c r="C149" s="3"/>
      <c r="D149" s="3"/>
      <c r="E149" s="4"/>
      <c r="F149" s="3"/>
      <c r="G149" s="5"/>
      <c r="H149" s="5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>
      <c r="A150" s="3"/>
      <c r="B150" s="3"/>
      <c r="C150" s="3"/>
      <c r="D150" s="3"/>
      <c r="E150" s="4"/>
      <c r="F150" s="3"/>
      <c r="G150" s="5"/>
      <c r="H150" s="5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>
      <c r="A151" s="3"/>
      <c r="B151" s="3"/>
      <c r="C151" s="3"/>
      <c r="D151" s="3"/>
      <c r="E151" s="4"/>
      <c r="F151" s="3"/>
      <c r="G151" s="5"/>
      <c r="H151" s="5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>
      <c r="A152" s="3"/>
      <c r="B152" s="3"/>
      <c r="C152" s="3"/>
      <c r="D152" s="3"/>
      <c r="E152" s="4"/>
      <c r="F152" s="3"/>
      <c r="G152" s="5"/>
      <c r="H152" s="5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>
      <c r="A153" s="3"/>
      <c r="B153" s="3"/>
      <c r="C153" s="3"/>
      <c r="D153" s="3"/>
      <c r="E153" s="4"/>
      <c r="F153" s="3"/>
      <c r="G153" s="5"/>
      <c r="H153" s="5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>
      <c r="A154" s="3"/>
      <c r="B154" s="3"/>
      <c r="C154" s="3"/>
      <c r="D154" s="3"/>
      <c r="E154" s="4"/>
      <c r="F154" s="3"/>
      <c r="G154" s="5"/>
      <c r="H154" s="5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>
      <c r="A155" s="3"/>
      <c r="B155" s="3"/>
      <c r="C155" s="3"/>
      <c r="D155" s="3"/>
      <c r="E155" s="4"/>
      <c r="F155" s="3"/>
      <c r="G155" s="5"/>
      <c r="H155" s="5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>
      <c r="A156" s="3"/>
      <c r="B156" s="3"/>
      <c r="C156" s="3"/>
      <c r="D156" s="3"/>
      <c r="E156" s="4"/>
      <c r="F156" s="3"/>
      <c r="G156" s="5"/>
      <c r="H156" s="5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>
      <c r="A157" s="3"/>
      <c r="B157" s="3"/>
      <c r="C157" s="3"/>
      <c r="D157" s="3"/>
      <c r="E157" s="4"/>
      <c r="F157" s="3"/>
      <c r="G157" s="5"/>
      <c r="H157" s="5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>
      <c r="A158" s="3"/>
      <c r="B158" s="3"/>
      <c r="C158" s="3"/>
      <c r="D158" s="3"/>
      <c r="E158" s="4"/>
      <c r="F158" s="3"/>
      <c r="G158" s="5"/>
      <c r="H158" s="5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>
      <c r="A159" s="3"/>
      <c r="B159" s="3"/>
      <c r="C159" s="3"/>
      <c r="D159" s="3"/>
      <c r="E159" s="4"/>
      <c r="F159" s="3"/>
      <c r="G159" s="5"/>
      <c r="H159" s="5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>
      <c r="A160" s="3"/>
      <c r="B160" s="3"/>
      <c r="C160" s="3"/>
      <c r="D160" s="3"/>
      <c r="E160" s="4"/>
      <c r="F160" s="3"/>
      <c r="G160" s="5"/>
      <c r="H160" s="5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>
      <c r="A161" s="3"/>
      <c r="B161" s="3"/>
      <c r="C161" s="3"/>
      <c r="D161" s="3"/>
      <c r="E161" s="4"/>
      <c r="F161" s="3"/>
      <c r="G161" s="5"/>
      <c r="H161" s="5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>
      <c r="A162" s="3"/>
      <c r="B162" s="3"/>
      <c r="C162" s="3"/>
      <c r="D162" s="3"/>
      <c r="E162" s="4"/>
      <c r="F162" s="3"/>
      <c r="G162" s="5"/>
      <c r="H162" s="5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>
      <c r="A163" s="3"/>
      <c r="B163" s="3"/>
      <c r="C163" s="3"/>
      <c r="D163" s="3"/>
      <c r="E163" s="4"/>
      <c r="F163" s="3"/>
      <c r="G163" s="5"/>
      <c r="H163" s="5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>
      <c r="A164" s="3"/>
      <c r="B164" s="3"/>
      <c r="C164" s="3"/>
      <c r="D164" s="3"/>
      <c r="E164" s="4"/>
      <c r="F164" s="3"/>
      <c r="G164" s="5"/>
      <c r="H164" s="5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>
      <c r="A165" s="3"/>
      <c r="B165" s="3"/>
      <c r="C165" s="3"/>
      <c r="D165" s="3"/>
      <c r="E165" s="4"/>
      <c r="F165" s="3"/>
      <c r="G165" s="5"/>
      <c r="H165" s="5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>
      <c r="A166" s="3"/>
      <c r="B166" s="3"/>
      <c r="C166" s="3"/>
      <c r="D166" s="3"/>
      <c r="E166" s="4"/>
      <c r="F166" s="3"/>
      <c r="G166" s="5"/>
      <c r="H166" s="5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>
      <c r="A167" s="3"/>
      <c r="B167" s="3"/>
      <c r="C167" s="3"/>
      <c r="D167" s="3"/>
      <c r="E167" s="4"/>
      <c r="F167" s="3"/>
      <c r="G167" s="5"/>
      <c r="H167" s="5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>
      <c r="A168" s="3"/>
      <c r="B168" s="3"/>
      <c r="C168" s="3"/>
      <c r="D168" s="3"/>
      <c r="E168" s="4"/>
      <c r="F168" s="3"/>
      <c r="G168" s="5"/>
      <c r="H168" s="5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>
      <c r="A169" s="3"/>
      <c r="B169" s="3"/>
      <c r="C169" s="3"/>
      <c r="D169" s="3"/>
      <c r="E169" s="4"/>
      <c r="F169" s="3"/>
      <c r="G169" s="5"/>
      <c r="H169" s="5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>
      <c r="A170" s="3"/>
      <c r="B170" s="3"/>
      <c r="C170" s="3"/>
      <c r="D170" s="3"/>
      <c r="E170" s="4"/>
      <c r="F170" s="3"/>
      <c r="G170" s="5"/>
      <c r="H170" s="5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>
      <c r="A171" s="3"/>
      <c r="B171" s="3"/>
      <c r="C171" s="3"/>
      <c r="D171" s="3"/>
      <c r="E171" s="4"/>
      <c r="F171" s="3"/>
      <c r="G171" s="5"/>
      <c r="H171" s="5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>
      <c r="A172" s="3"/>
      <c r="B172" s="3"/>
      <c r="C172" s="3"/>
      <c r="D172" s="3"/>
      <c r="E172" s="4"/>
      <c r="F172" s="3"/>
      <c r="G172" s="5"/>
      <c r="H172" s="5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>
      <c r="A173" s="3"/>
      <c r="B173" s="3"/>
      <c r="C173" s="3"/>
      <c r="D173" s="3"/>
      <c r="E173" s="4"/>
      <c r="F173" s="3"/>
      <c r="G173" s="5"/>
      <c r="H173" s="5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>
      <c r="A174" s="3"/>
      <c r="B174" s="3"/>
      <c r="C174" s="3"/>
      <c r="D174" s="3"/>
      <c r="E174" s="4"/>
      <c r="F174" s="3"/>
      <c r="G174" s="5"/>
      <c r="H174" s="5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>
      <c r="A175" s="3"/>
      <c r="B175" s="3"/>
      <c r="C175" s="3"/>
      <c r="D175" s="3"/>
      <c r="E175" s="4"/>
      <c r="F175" s="3"/>
      <c r="G175" s="5"/>
      <c r="H175" s="5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>
      <c r="A176" s="3"/>
      <c r="B176" s="3"/>
      <c r="C176" s="3"/>
      <c r="D176" s="3"/>
      <c r="E176" s="4"/>
      <c r="F176" s="3"/>
      <c r="G176" s="5"/>
      <c r="H176" s="5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>
      <c r="A177" s="3"/>
      <c r="B177" s="3"/>
      <c r="C177" s="3"/>
      <c r="D177" s="3"/>
      <c r="E177" s="4"/>
      <c r="F177" s="3"/>
      <c r="G177" s="5"/>
      <c r="H177" s="5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>
      <c r="A178" s="3"/>
      <c r="B178" s="3"/>
      <c r="C178" s="3"/>
      <c r="D178" s="3"/>
      <c r="E178" s="4"/>
      <c r="F178" s="3"/>
      <c r="G178" s="5"/>
      <c r="H178" s="5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>
      <c r="A179" s="3"/>
      <c r="B179" s="3"/>
      <c r="C179" s="3"/>
      <c r="D179" s="3"/>
      <c r="E179" s="4"/>
      <c r="F179" s="3"/>
      <c r="G179" s="5"/>
      <c r="H179" s="5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>
      <c r="A180" s="3"/>
      <c r="B180" s="3"/>
      <c r="C180" s="3"/>
      <c r="D180" s="3"/>
      <c r="E180" s="4"/>
      <c r="F180" s="3"/>
      <c r="G180" s="5"/>
      <c r="H180" s="5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>
      <c r="A181" s="3"/>
      <c r="B181" s="3"/>
      <c r="C181" s="3"/>
      <c r="D181" s="3"/>
      <c r="E181" s="4"/>
      <c r="F181" s="3"/>
      <c r="G181" s="5"/>
      <c r="H181" s="5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>
      <c r="A182" s="3"/>
      <c r="B182" s="3"/>
      <c r="C182" s="3"/>
      <c r="D182" s="3"/>
      <c r="E182" s="4"/>
      <c r="F182" s="3"/>
      <c r="G182" s="5"/>
      <c r="H182" s="5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>
      <c r="A183" s="3"/>
      <c r="B183" s="3"/>
      <c r="C183" s="3"/>
      <c r="D183" s="3"/>
      <c r="E183" s="4"/>
      <c r="F183" s="3"/>
      <c r="G183" s="5"/>
      <c r="H183" s="5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>
      <c r="A184" s="3"/>
      <c r="B184" s="3"/>
      <c r="C184" s="3"/>
      <c r="D184" s="3"/>
      <c r="E184" s="4"/>
      <c r="F184" s="3"/>
      <c r="G184" s="5"/>
      <c r="H184" s="5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>
      <c r="A185" s="3"/>
      <c r="B185" s="3"/>
      <c r="C185" s="3"/>
      <c r="D185" s="3"/>
      <c r="E185" s="4"/>
      <c r="F185" s="3"/>
      <c r="G185" s="5"/>
      <c r="H185" s="5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>
      <c r="A186" s="3"/>
      <c r="B186" s="3"/>
      <c r="C186" s="3"/>
      <c r="D186" s="3"/>
      <c r="E186" s="4"/>
      <c r="F186" s="3"/>
      <c r="G186" s="5"/>
      <c r="H186" s="5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>
      <c r="A187" s="3"/>
      <c r="B187" s="3"/>
      <c r="C187" s="3"/>
      <c r="D187" s="3"/>
      <c r="E187" s="4"/>
      <c r="F187" s="3"/>
      <c r="G187" s="5"/>
      <c r="H187" s="5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>
      <c r="A188" s="3"/>
      <c r="B188" s="3"/>
      <c r="C188" s="3"/>
      <c r="D188" s="3"/>
      <c r="E188" s="4"/>
      <c r="F188" s="3"/>
      <c r="G188" s="5"/>
      <c r="H188" s="5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>
      <c r="A189" s="3"/>
      <c r="B189" s="3"/>
      <c r="C189" s="3"/>
      <c r="D189" s="3"/>
      <c r="E189" s="4"/>
      <c r="F189" s="3"/>
      <c r="G189" s="5"/>
      <c r="H189" s="5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>
      <c r="A190" s="3"/>
      <c r="B190" s="3"/>
      <c r="C190" s="3"/>
      <c r="D190" s="3"/>
      <c r="E190" s="4"/>
      <c r="F190" s="3"/>
      <c r="G190" s="5"/>
      <c r="H190" s="5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>
      <c r="A191" s="3"/>
      <c r="B191" s="3"/>
      <c r="C191" s="3"/>
      <c r="D191" s="3"/>
      <c r="E191" s="4"/>
      <c r="F191" s="3"/>
      <c r="G191" s="5"/>
      <c r="H191" s="5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>
      <c r="A192" s="3"/>
      <c r="B192" s="3"/>
      <c r="C192" s="3"/>
      <c r="D192" s="3"/>
      <c r="E192" s="4"/>
      <c r="F192" s="3"/>
      <c r="G192" s="5"/>
      <c r="H192" s="5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>
      <c r="A193" s="3"/>
      <c r="B193" s="3"/>
      <c r="C193" s="3"/>
      <c r="D193" s="3"/>
      <c r="E193" s="4"/>
      <c r="F193" s="3"/>
      <c r="G193" s="5"/>
      <c r="H193" s="5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>
      <c r="A194" s="3"/>
      <c r="B194" s="3"/>
      <c r="C194" s="3"/>
      <c r="D194" s="3"/>
      <c r="E194" s="4"/>
      <c r="F194" s="3"/>
      <c r="G194" s="5"/>
      <c r="H194" s="5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>
      <c r="A195" s="3"/>
      <c r="B195" s="3"/>
      <c r="C195" s="3"/>
      <c r="D195" s="3"/>
      <c r="E195" s="4"/>
      <c r="F195" s="3"/>
      <c r="G195" s="5"/>
      <c r="H195" s="5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>
      <c r="A196" s="3"/>
      <c r="B196" s="3"/>
      <c r="C196" s="3"/>
      <c r="D196" s="3"/>
      <c r="E196" s="4"/>
      <c r="F196" s="3"/>
      <c r="G196" s="5"/>
      <c r="H196" s="5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>
      <c r="A197" s="3"/>
      <c r="B197" s="3"/>
      <c r="C197" s="3"/>
      <c r="D197" s="3"/>
      <c r="E197" s="4"/>
      <c r="F197" s="3"/>
      <c r="G197" s="5"/>
      <c r="H197" s="5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>
      <c r="A198" s="3"/>
      <c r="B198" s="3"/>
      <c r="C198" s="3"/>
      <c r="D198" s="3"/>
      <c r="E198" s="4"/>
      <c r="F198" s="3"/>
      <c r="G198" s="5"/>
      <c r="H198" s="5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>
      <c r="A199" s="3"/>
      <c r="B199" s="3"/>
      <c r="C199" s="3"/>
      <c r="D199" s="3"/>
      <c r="E199" s="4"/>
      <c r="F199" s="3"/>
      <c r="G199" s="5"/>
      <c r="H199" s="5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>
      <c r="A200" s="3"/>
      <c r="B200" s="3"/>
      <c r="C200" s="3"/>
      <c r="D200" s="3"/>
      <c r="E200" s="4"/>
      <c r="F200" s="3"/>
      <c r="G200" s="5"/>
      <c r="H200" s="5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>
      <c r="A201" s="3"/>
      <c r="B201" s="3"/>
      <c r="C201" s="3"/>
      <c r="D201" s="3"/>
      <c r="E201" s="4"/>
      <c r="F201" s="3"/>
      <c r="G201" s="5"/>
      <c r="H201" s="5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>
      <c r="A202" s="3"/>
      <c r="B202" s="3"/>
      <c r="C202" s="3"/>
      <c r="D202" s="3"/>
      <c r="E202" s="4"/>
      <c r="F202" s="3"/>
      <c r="G202" s="5"/>
      <c r="H202" s="5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>
      <c r="A203" s="3"/>
      <c r="B203" s="3"/>
      <c r="C203" s="3"/>
      <c r="D203" s="3"/>
      <c r="E203" s="4"/>
      <c r="F203" s="3"/>
      <c r="G203" s="5"/>
      <c r="H203" s="5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>
      <c r="A204" s="3"/>
      <c r="B204" s="3"/>
      <c r="C204" s="3"/>
      <c r="D204" s="3"/>
      <c r="E204" s="4"/>
      <c r="F204" s="3"/>
      <c r="G204" s="5"/>
      <c r="H204" s="5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>
      <c r="A205" s="3"/>
      <c r="B205" s="3"/>
      <c r="C205" s="3"/>
      <c r="D205" s="3"/>
      <c r="E205" s="4"/>
      <c r="F205" s="3"/>
      <c r="G205" s="5"/>
      <c r="H205" s="5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>
      <c r="A206" s="3"/>
      <c r="B206" s="3"/>
      <c r="C206" s="3"/>
      <c r="D206" s="3"/>
      <c r="E206" s="4"/>
      <c r="F206" s="3"/>
      <c r="G206" s="5"/>
      <c r="H206" s="5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>
      <c r="A207" s="3"/>
      <c r="B207" s="3"/>
      <c r="C207" s="3"/>
      <c r="D207" s="3"/>
      <c r="E207" s="4"/>
      <c r="F207" s="3"/>
      <c r="G207" s="5"/>
      <c r="H207" s="5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>
      <c r="A208" s="3"/>
      <c r="B208" s="3"/>
      <c r="C208" s="3"/>
      <c r="D208" s="3"/>
      <c r="E208" s="4"/>
      <c r="F208" s="3"/>
      <c r="G208" s="5"/>
      <c r="H208" s="5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>
      <c r="A209" s="3"/>
      <c r="B209" s="3"/>
      <c r="C209" s="3"/>
      <c r="D209" s="3"/>
      <c r="E209" s="4"/>
      <c r="F209" s="3"/>
      <c r="G209" s="5"/>
      <c r="H209" s="5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>
      <c r="A210" s="3"/>
      <c r="B210" s="3"/>
      <c r="C210" s="3"/>
      <c r="D210" s="3"/>
      <c r="E210" s="4"/>
      <c r="F210" s="3"/>
      <c r="G210" s="5"/>
      <c r="H210" s="5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>
      <c r="A211" s="3"/>
      <c r="B211" s="3"/>
      <c r="C211" s="3"/>
      <c r="D211" s="3"/>
      <c r="E211" s="4"/>
      <c r="F211" s="3"/>
      <c r="G211" s="5"/>
      <c r="H211" s="5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>
      <c r="A212" s="3"/>
      <c r="B212" s="3"/>
      <c r="C212" s="3"/>
      <c r="D212" s="3"/>
      <c r="E212" s="4"/>
      <c r="F212" s="3"/>
      <c r="G212" s="5"/>
      <c r="H212" s="5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>
      <c r="A213" s="3"/>
      <c r="B213" s="3"/>
      <c r="C213" s="3"/>
      <c r="D213" s="3"/>
      <c r="E213" s="4"/>
      <c r="F213" s="3"/>
      <c r="G213" s="5"/>
      <c r="H213" s="5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>
      <c r="A214" s="3"/>
      <c r="B214" s="3"/>
      <c r="C214" s="3"/>
      <c r="D214" s="3"/>
      <c r="E214" s="4"/>
      <c r="F214" s="3"/>
      <c r="G214" s="5"/>
      <c r="H214" s="5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>
      <c r="A215" s="3"/>
      <c r="B215" s="3"/>
      <c r="C215" s="3"/>
      <c r="D215" s="3"/>
      <c r="E215" s="4"/>
      <c r="F215" s="3"/>
      <c r="G215" s="5"/>
      <c r="H215" s="5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>
      <c r="A216" s="3"/>
      <c r="B216" s="3"/>
      <c r="C216" s="3"/>
      <c r="D216" s="3"/>
      <c r="E216" s="4"/>
      <c r="F216" s="3"/>
      <c r="G216" s="5"/>
      <c r="H216" s="5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>
      <c r="A217" s="3"/>
      <c r="B217" s="3"/>
      <c r="C217" s="3"/>
      <c r="D217" s="3"/>
      <c r="E217" s="4"/>
      <c r="F217" s="3"/>
      <c r="G217" s="5"/>
      <c r="H217" s="5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>
      <c r="A218" s="3"/>
      <c r="B218" s="3"/>
      <c r="C218" s="3"/>
      <c r="D218" s="3"/>
      <c r="E218" s="4"/>
      <c r="F218" s="3"/>
      <c r="G218" s="5"/>
      <c r="H218" s="5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>
      <c r="A219" s="3"/>
      <c r="B219" s="3"/>
      <c r="C219" s="3"/>
      <c r="D219" s="3"/>
      <c r="E219" s="4"/>
      <c r="F219" s="3"/>
      <c r="G219" s="5"/>
      <c r="H219" s="5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>
      <c r="A220" s="3"/>
      <c r="B220" s="3"/>
      <c r="C220" s="3"/>
      <c r="D220" s="3"/>
      <c r="E220" s="4"/>
      <c r="F220" s="3"/>
      <c r="G220" s="5"/>
      <c r="H220" s="5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>
      <c r="A221" s="3"/>
      <c r="B221" s="3"/>
      <c r="C221" s="3"/>
      <c r="D221" s="3"/>
      <c r="E221" s="4"/>
      <c r="F221" s="3"/>
      <c r="G221" s="5"/>
      <c r="H221" s="5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>
      <c r="A222" s="3"/>
      <c r="B222" s="3"/>
      <c r="C222" s="3"/>
      <c r="D222" s="3"/>
      <c r="E222" s="4"/>
      <c r="F222" s="3"/>
      <c r="G222" s="5"/>
      <c r="H222" s="5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>
      <c r="A223" s="3"/>
      <c r="B223" s="3"/>
      <c r="C223" s="3"/>
      <c r="D223" s="3"/>
      <c r="E223" s="4"/>
      <c r="F223" s="3"/>
      <c r="G223" s="5"/>
      <c r="H223" s="5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>
      <c r="A224" s="3"/>
      <c r="B224" s="3"/>
      <c r="C224" s="3"/>
      <c r="D224" s="3"/>
      <c r="E224" s="4"/>
      <c r="F224" s="3"/>
      <c r="G224" s="5"/>
      <c r="H224" s="5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>
      <c r="A225" s="3"/>
      <c r="B225" s="3"/>
      <c r="C225" s="3"/>
      <c r="D225" s="3"/>
      <c r="E225" s="4"/>
      <c r="F225" s="3"/>
      <c r="G225" s="5"/>
      <c r="H225" s="5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>
      <c r="A226" s="3"/>
      <c r="B226" s="3"/>
      <c r="C226" s="3"/>
      <c r="D226" s="3"/>
      <c r="E226" s="4"/>
      <c r="F226" s="3"/>
      <c r="G226" s="5"/>
      <c r="H226" s="5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>
      <c r="A227" s="3"/>
      <c r="B227" s="3"/>
      <c r="C227" s="3"/>
      <c r="D227" s="3"/>
      <c r="E227" s="4"/>
      <c r="F227" s="3"/>
      <c r="G227" s="5"/>
      <c r="H227" s="5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>
      <c r="A228" s="3"/>
      <c r="B228" s="3"/>
      <c r="C228" s="3"/>
      <c r="D228" s="3"/>
      <c r="E228" s="4"/>
      <c r="F228" s="3"/>
      <c r="G228" s="5"/>
      <c r="H228" s="5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>
      <c r="A229" s="3"/>
      <c r="B229" s="3"/>
      <c r="C229" s="3"/>
      <c r="D229" s="3"/>
      <c r="E229" s="4"/>
      <c r="F229" s="3"/>
      <c r="G229" s="5"/>
      <c r="H229" s="5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>
      <c r="A230" s="3"/>
      <c r="B230" s="3"/>
      <c r="C230" s="3"/>
      <c r="D230" s="3"/>
      <c r="E230" s="4"/>
      <c r="F230" s="3"/>
      <c r="G230" s="5"/>
      <c r="H230" s="5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>
      <c r="A231" s="3"/>
      <c r="B231" s="3"/>
      <c r="C231" s="3"/>
      <c r="D231" s="3"/>
      <c r="E231" s="4"/>
      <c r="F231" s="3"/>
      <c r="G231" s="5"/>
      <c r="H231" s="5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>
      <c r="A232" s="3"/>
      <c r="B232" s="3"/>
      <c r="C232" s="3"/>
      <c r="D232" s="3"/>
      <c r="E232" s="4"/>
      <c r="F232" s="3"/>
      <c r="G232" s="5"/>
      <c r="H232" s="5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>
      <c r="A233" s="3"/>
      <c r="B233" s="3"/>
      <c r="C233" s="3"/>
      <c r="D233" s="3"/>
      <c r="E233" s="4"/>
      <c r="F233" s="3"/>
      <c r="G233" s="5"/>
      <c r="H233" s="5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>
      <c r="A234" s="3"/>
      <c r="B234" s="3"/>
      <c r="C234" s="3"/>
      <c r="D234" s="3"/>
      <c r="E234" s="4"/>
      <c r="F234" s="3"/>
      <c r="G234" s="5"/>
      <c r="H234" s="5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>
      <c r="A235" s="3"/>
      <c r="B235" s="3"/>
      <c r="C235" s="3"/>
      <c r="D235" s="3"/>
      <c r="E235" s="4"/>
      <c r="F235" s="3"/>
      <c r="G235" s="5"/>
      <c r="H235" s="5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>
      <c r="A236" s="3"/>
      <c r="B236" s="3"/>
      <c r="C236" s="3"/>
      <c r="D236" s="3"/>
      <c r="E236" s="4"/>
      <c r="F236" s="3"/>
      <c r="G236" s="5"/>
      <c r="H236" s="5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>
      <c r="A237" s="3"/>
      <c r="B237" s="3"/>
      <c r="C237" s="3"/>
      <c r="D237" s="3"/>
      <c r="E237" s="4"/>
      <c r="F237" s="3"/>
      <c r="G237" s="5"/>
      <c r="H237" s="5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>
      <c r="A238" s="3"/>
      <c r="B238" s="3"/>
      <c r="C238" s="3"/>
      <c r="D238" s="3"/>
      <c r="E238" s="4"/>
      <c r="F238" s="3"/>
      <c r="G238" s="5"/>
      <c r="H238" s="5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>
      <c r="A239" s="3"/>
      <c r="B239" s="3"/>
      <c r="C239" s="3"/>
      <c r="D239" s="3"/>
      <c r="E239" s="4"/>
      <c r="F239" s="3"/>
      <c r="G239" s="5"/>
      <c r="H239" s="5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>
      <c r="A240" s="3"/>
      <c r="B240" s="3"/>
      <c r="C240" s="3"/>
      <c r="D240" s="3"/>
      <c r="E240" s="4"/>
      <c r="F240" s="3"/>
      <c r="G240" s="5"/>
      <c r="H240" s="5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>
      <c r="A241" s="3"/>
      <c r="B241" s="3"/>
      <c r="C241" s="3"/>
      <c r="D241" s="3"/>
      <c r="E241" s="4"/>
      <c r="F241" s="3"/>
      <c r="G241" s="5"/>
      <c r="H241" s="5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>
      <c r="A242" s="3"/>
      <c r="B242" s="3"/>
      <c r="C242" s="3"/>
      <c r="D242" s="3"/>
      <c r="E242" s="4"/>
      <c r="F242" s="3"/>
      <c r="G242" s="5"/>
      <c r="H242" s="5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>
      <c r="A243" s="3"/>
      <c r="B243" s="3"/>
      <c r="C243" s="3"/>
      <c r="D243" s="3"/>
      <c r="E243" s="4"/>
      <c r="F243" s="3"/>
      <c r="G243" s="5"/>
      <c r="H243" s="5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>
      <c r="A244" s="3"/>
      <c r="B244" s="3"/>
      <c r="C244" s="3"/>
      <c r="D244" s="3"/>
      <c r="E244" s="4"/>
      <c r="F244" s="3"/>
      <c r="G244" s="5"/>
      <c r="H244" s="5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>
      <c r="A245" s="3"/>
      <c r="B245" s="3"/>
      <c r="C245" s="3"/>
      <c r="D245" s="3"/>
      <c r="E245" s="4"/>
      <c r="F245" s="3"/>
      <c r="G245" s="5"/>
      <c r="H245" s="5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>
      <c r="A246" s="3"/>
      <c r="B246" s="3"/>
      <c r="C246" s="3"/>
      <c r="D246" s="3"/>
      <c r="E246" s="4"/>
      <c r="F246" s="3"/>
      <c r="G246" s="5"/>
      <c r="H246" s="5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>
      <c r="A247" s="3"/>
      <c r="B247" s="3"/>
      <c r="C247" s="3"/>
      <c r="D247" s="3"/>
      <c r="E247" s="4"/>
      <c r="F247" s="3"/>
      <c r="G247" s="5"/>
      <c r="H247" s="5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>
      <c r="A248" s="3"/>
      <c r="B248" s="3"/>
      <c r="C248" s="3"/>
      <c r="D248" s="3"/>
      <c r="E248" s="4"/>
      <c r="F248" s="3"/>
      <c r="G248" s="5"/>
      <c r="H248" s="5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>
      <c r="A249" s="3"/>
      <c r="B249" s="3"/>
      <c r="C249" s="3"/>
      <c r="D249" s="3"/>
      <c r="E249" s="4"/>
      <c r="F249" s="3"/>
      <c r="G249" s="5"/>
      <c r="H249" s="5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>
      <c r="A250" s="3"/>
      <c r="B250" s="3"/>
      <c r="C250" s="3"/>
      <c r="D250" s="3"/>
      <c r="E250" s="4"/>
      <c r="F250" s="3"/>
      <c r="G250" s="5"/>
      <c r="H250" s="5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>
      <c r="A251" s="3"/>
      <c r="B251" s="3"/>
      <c r="C251" s="3"/>
      <c r="D251" s="3"/>
      <c r="E251" s="4"/>
      <c r="F251" s="3"/>
      <c r="G251" s="5"/>
      <c r="H251" s="5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>
      <c r="A252" s="3"/>
      <c r="B252" s="3"/>
      <c r="C252" s="3"/>
      <c r="D252" s="3"/>
      <c r="E252" s="4"/>
      <c r="F252" s="3"/>
      <c r="G252" s="5"/>
      <c r="H252" s="5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>
      <c r="A253" s="3"/>
      <c r="B253" s="3"/>
      <c r="C253" s="3"/>
      <c r="D253" s="3"/>
      <c r="E253" s="4"/>
      <c r="F253" s="3"/>
      <c r="G253" s="5"/>
      <c r="H253" s="5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>
      <c r="A254" s="3"/>
      <c r="B254" s="3"/>
      <c r="C254" s="3"/>
      <c r="D254" s="3"/>
      <c r="E254" s="4"/>
      <c r="F254" s="3"/>
      <c r="G254" s="5"/>
      <c r="H254" s="5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>
      <c r="A255" s="3"/>
      <c r="B255" s="3"/>
      <c r="C255" s="3"/>
      <c r="D255" s="3"/>
      <c r="E255" s="4"/>
      <c r="F255" s="3"/>
      <c r="G255" s="5"/>
      <c r="H255" s="5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>
      <c r="A256" s="3"/>
      <c r="B256" s="3"/>
      <c r="C256" s="3"/>
      <c r="D256" s="3"/>
      <c r="E256" s="4"/>
      <c r="F256" s="3"/>
      <c r="G256" s="5"/>
      <c r="H256" s="5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>
      <c r="A257" s="3"/>
      <c r="B257" s="3"/>
      <c r="C257" s="3"/>
      <c r="D257" s="3"/>
      <c r="E257" s="4"/>
      <c r="F257" s="3"/>
      <c r="G257" s="5"/>
      <c r="H257" s="5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>
      <c r="A258" s="3"/>
      <c r="B258" s="3"/>
      <c r="C258" s="3"/>
      <c r="D258" s="3"/>
      <c r="E258" s="4"/>
      <c r="F258" s="3"/>
      <c r="G258" s="5"/>
      <c r="H258" s="5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>
      <c r="A259" s="3"/>
      <c r="B259" s="3"/>
      <c r="C259" s="3"/>
      <c r="D259" s="3"/>
      <c r="E259" s="4"/>
      <c r="F259" s="3"/>
      <c r="G259" s="5"/>
      <c r="H259" s="5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>
      <c r="A260" s="3"/>
      <c r="B260" s="3"/>
      <c r="C260" s="3"/>
      <c r="D260" s="3"/>
      <c r="E260" s="4"/>
      <c r="F260" s="3"/>
      <c r="G260" s="5"/>
      <c r="H260" s="5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>
      <c r="A261" s="3"/>
      <c r="B261" s="3"/>
      <c r="C261" s="3"/>
      <c r="D261" s="3"/>
      <c r="E261" s="4"/>
      <c r="F261" s="3"/>
      <c r="G261" s="5"/>
      <c r="H261" s="5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>
      <c r="A262" s="3"/>
      <c r="B262" s="3"/>
      <c r="C262" s="3"/>
      <c r="D262" s="3"/>
      <c r="E262" s="4"/>
      <c r="F262" s="3"/>
      <c r="G262" s="5"/>
      <c r="H262" s="5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>
      <c r="A263" s="3"/>
      <c r="B263" s="3"/>
      <c r="C263" s="3"/>
      <c r="D263" s="3"/>
      <c r="E263" s="4"/>
      <c r="F263" s="3"/>
      <c r="G263" s="5"/>
      <c r="H263" s="5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>
      <c r="A264" s="3"/>
      <c r="B264" s="3"/>
      <c r="C264" s="3"/>
      <c r="D264" s="3"/>
      <c r="E264" s="4"/>
      <c r="F264" s="3"/>
      <c r="G264" s="5"/>
      <c r="H264" s="5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>
      <c r="A265" s="3"/>
      <c r="B265" s="3"/>
      <c r="C265" s="3"/>
      <c r="D265" s="3"/>
      <c r="E265" s="4"/>
      <c r="F265" s="3"/>
      <c r="G265" s="5"/>
      <c r="H265" s="5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>
      <c r="A266" s="3"/>
      <c r="B266" s="3"/>
      <c r="C266" s="3"/>
      <c r="D266" s="3"/>
      <c r="E266" s="4"/>
      <c r="F266" s="3"/>
      <c r="G266" s="5"/>
      <c r="H266" s="5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>
      <c r="A267" s="3"/>
      <c r="B267" s="3"/>
      <c r="C267" s="3"/>
      <c r="D267" s="3"/>
      <c r="E267" s="4"/>
      <c r="F267" s="3"/>
      <c r="G267" s="5"/>
      <c r="H267" s="5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>
      <c r="A268" s="3"/>
      <c r="B268" s="3"/>
      <c r="C268" s="3"/>
      <c r="D268" s="3"/>
      <c r="E268" s="4"/>
      <c r="F268" s="3"/>
      <c r="G268" s="5"/>
      <c r="H268" s="5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>
      <c r="A269" s="3"/>
      <c r="B269" s="3"/>
      <c r="C269" s="3"/>
      <c r="D269" s="3"/>
      <c r="E269" s="4"/>
      <c r="F269" s="3"/>
      <c r="G269" s="5"/>
      <c r="H269" s="5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>
      <c r="A270" s="3"/>
      <c r="B270" s="3"/>
      <c r="C270" s="3"/>
      <c r="D270" s="3"/>
      <c r="E270" s="4"/>
      <c r="F270" s="3"/>
      <c r="G270" s="5"/>
      <c r="H270" s="5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>
      <c r="A271" s="3"/>
      <c r="B271" s="3"/>
      <c r="C271" s="3"/>
      <c r="D271" s="3"/>
      <c r="E271" s="4"/>
      <c r="F271" s="3"/>
      <c r="G271" s="5"/>
      <c r="H271" s="5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>
      <c r="A272" s="3"/>
      <c r="B272" s="3"/>
      <c r="C272" s="3"/>
      <c r="D272" s="3"/>
      <c r="E272" s="4"/>
      <c r="F272" s="3"/>
      <c r="G272" s="5"/>
      <c r="H272" s="5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>
      <c r="A273" s="3"/>
      <c r="B273" s="3"/>
      <c r="C273" s="3"/>
      <c r="D273" s="3"/>
      <c r="E273" s="4"/>
      <c r="F273" s="3"/>
      <c r="G273" s="5"/>
      <c r="H273" s="5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>
      <c r="A274" s="3"/>
      <c r="B274" s="3"/>
      <c r="C274" s="3"/>
      <c r="D274" s="3"/>
      <c r="E274" s="4"/>
      <c r="F274" s="3"/>
      <c r="G274" s="5"/>
      <c r="H274" s="5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>
      <c r="A275" s="3"/>
      <c r="B275" s="3"/>
      <c r="C275" s="3"/>
      <c r="D275" s="3"/>
      <c r="E275" s="4"/>
      <c r="F275" s="3"/>
      <c r="G275" s="5"/>
      <c r="H275" s="5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>
      <c r="A276" s="3"/>
      <c r="B276" s="3"/>
      <c r="C276" s="3"/>
      <c r="D276" s="3"/>
      <c r="E276" s="4"/>
      <c r="F276" s="3"/>
      <c r="G276" s="5"/>
      <c r="H276" s="5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>
      <c r="A277" s="3"/>
      <c r="B277" s="3"/>
      <c r="C277" s="3"/>
      <c r="D277" s="3"/>
      <c r="E277" s="4"/>
      <c r="F277" s="3"/>
      <c r="G277" s="5"/>
      <c r="H277" s="5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>
      <c r="A278" s="3"/>
      <c r="B278" s="3"/>
      <c r="C278" s="3"/>
      <c r="D278" s="3"/>
      <c r="E278" s="4"/>
      <c r="F278" s="3"/>
      <c r="G278" s="5"/>
      <c r="H278" s="5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>
      <c r="A279" s="3"/>
      <c r="B279" s="3"/>
      <c r="C279" s="3"/>
      <c r="D279" s="3"/>
      <c r="E279" s="4"/>
      <c r="F279" s="3"/>
      <c r="G279" s="5"/>
      <c r="H279" s="5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>
      <c r="A280" s="3"/>
      <c r="B280" s="3"/>
      <c r="C280" s="3"/>
      <c r="D280" s="3"/>
      <c r="E280" s="4"/>
      <c r="F280" s="3"/>
      <c r="G280" s="5"/>
      <c r="H280" s="5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>
      <c r="A281" s="3"/>
      <c r="B281" s="3"/>
      <c r="C281" s="3"/>
      <c r="D281" s="3"/>
      <c r="E281" s="4"/>
      <c r="F281" s="3"/>
      <c r="G281" s="5"/>
      <c r="H281" s="5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>
      <c r="A282" s="3"/>
      <c r="B282" s="3"/>
      <c r="C282" s="3"/>
      <c r="D282" s="3"/>
      <c r="E282" s="4"/>
      <c r="F282" s="3"/>
      <c r="G282" s="5"/>
      <c r="H282" s="5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>
      <c r="A283" s="3"/>
      <c r="B283" s="3"/>
      <c r="C283" s="3"/>
      <c r="D283" s="3"/>
      <c r="E283" s="4"/>
      <c r="F283" s="3"/>
      <c r="G283" s="5"/>
      <c r="H283" s="5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>
      <c r="A284" s="3"/>
      <c r="B284" s="3"/>
      <c r="C284" s="3"/>
      <c r="D284" s="3"/>
      <c r="E284" s="4"/>
      <c r="F284" s="3"/>
      <c r="G284" s="5"/>
      <c r="H284" s="5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>
      <c r="A285" s="3"/>
      <c r="B285" s="3"/>
      <c r="C285" s="3"/>
      <c r="D285" s="3"/>
      <c r="E285" s="4"/>
      <c r="F285" s="3"/>
      <c r="G285" s="5"/>
      <c r="H285" s="5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>
      <c r="A286" s="3"/>
      <c r="B286" s="3"/>
      <c r="C286" s="3"/>
      <c r="D286" s="3"/>
      <c r="E286" s="4"/>
      <c r="F286" s="3"/>
      <c r="G286" s="5"/>
      <c r="H286" s="5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>
      <c r="A287" s="3"/>
      <c r="B287" s="3"/>
      <c r="C287" s="3"/>
      <c r="D287" s="3"/>
      <c r="E287" s="4"/>
      <c r="F287" s="3"/>
      <c r="G287" s="5"/>
      <c r="H287" s="5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>
      <c r="A288" s="3"/>
      <c r="B288" s="3"/>
      <c r="C288" s="3"/>
      <c r="D288" s="3"/>
      <c r="E288" s="4"/>
      <c r="F288" s="3"/>
      <c r="G288" s="5"/>
      <c r="H288" s="5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>
      <c r="A289" s="3"/>
      <c r="B289" s="3"/>
      <c r="C289" s="3"/>
      <c r="D289" s="3"/>
      <c r="E289" s="4"/>
      <c r="F289" s="3"/>
      <c r="G289" s="5"/>
      <c r="H289" s="5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>
      <c r="A290" s="3"/>
      <c r="B290" s="3"/>
      <c r="C290" s="3"/>
      <c r="D290" s="3"/>
      <c r="E290" s="4"/>
      <c r="F290" s="3"/>
      <c r="G290" s="5"/>
      <c r="H290" s="5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>
      <c r="A291" s="3"/>
      <c r="B291" s="3"/>
      <c r="C291" s="3"/>
      <c r="D291" s="3"/>
      <c r="E291" s="4"/>
      <c r="F291" s="3"/>
      <c r="G291" s="5"/>
      <c r="H291" s="5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>
      <c r="A292" s="3"/>
      <c r="B292" s="3"/>
      <c r="C292" s="3"/>
      <c r="D292" s="3"/>
      <c r="E292" s="4"/>
      <c r="F292" s="3"/>
      <c r="G292" s="5"/>
      <c r="H292" s="5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>
      <c r="A293" s="3"/>
      <c r="B293" s="3"/>
      <c r="C293" s="3"/>
      <c r="D293" s="3"/>
      <c r="E293" s="4"/>
      <c r="F293" s="3"/>
      <c r="G293" s="5"/>
      <c r="H293" s="5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>
      <c r="A294" s="3"/>
      <c r="B294" s="3"/>
      <c r="C294" s="3"/>
      <c r="D294" s="3"/>
      <c r="E294" s="4"/>
      <c r="F294" s="3"/>
      <c r="G294" s="5"/>
      <c r="H294" s="5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>
      <c r="A295" s="3"/>
      <c r="B295" s="3"/>
      <c r="C295" s="3"/>
      <c r="D295" s="3"/>
      <c r="E295" s="4"/>
      <c r="F295" s="3"/>
      <c r="G295" s="5"/>
      <c r="H295" s="5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>
      <c r="A296" s="3"/>
      <c r="B296" s="3"/>
      <c r="C296" s="3"/>
      <c r="D296" s="3"/>
      <c r="E296" s="4"/>
      <c r="F296" s="3"/>
      <c r="G296" s="5"/>
      <c r="H296" s="5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>
      <c r="A297" s="3"/>
      <c r="B297" s="3"/>
      <c r="C297" s="3"/>
      <c r="D297" s="3"/>
      <c r="E297" s="4"/>
      <c r="F297" s="3"/>
      <c r="G297" s="5"/>
      <c r="H297" s="5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>
      <c r="A298" s="3"/>
      <c r="B298" s="3"/>
      <c r="C298" s="3"/>
      <c r="D298" s="3"/>
      <c r="E298" s="4"/>
      <c r="F298" s="3"/>
      <c r="G298" s="5"/>
      <c r="H298" s="5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>
      <c r="A299" s="3"/>
      <c r="B299" s="3"/>
      <c r="C299" s="3"/>
      <c r="D299" s="3"/>
      <c r="E299" s="4"/>
      <c r="F299" s="3"/>
      <c r="G299" s="5"/>
      <c r="H299" s="5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>
      <c r="A300" s="3"/>
      <c r="B300" s="3"/>
      <c r="C300" s="3"/>
      <c r="D300" s="3"/>
      <c r="E300" s="4"/>
      <c r="F300" s="3"/>
      <c r="G300" s="5"/>
      <c r="H300" s="5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>
      <c r="A301" s="3"/>
      <c r="B301" s="3"/>
      <c r="C301" s="3"/>
      <c r="D301" s="3"/>
      <c r="E301" s="4"/>
      <c r="F301" s="3"/>
      <c r="G301" s="5"/>
      <c r="H301" s="5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>
      <c r="A302" s="3"/>
      <c r="B302" s="3"/>
      <c r="C302" s="3"/>
      <c r="D302" s="3"/>
      <c r="E302" s="4"/>
      <c r="F302" s="3"/>
      <c r="G302" s="5"/>
      <c r="H302" s="5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>
      <c r="A303" s="3"/>
      <c r="B303" s="3"/>
      <c r="C303" s="3"/>
      <c r="D303" s="3"/>
      <c r="E303" s="4"/>
      <c r="F303" s="3"/>
      <c r="G303" s="5"/>
      <c r="H303" s="5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>
      <c r="A304" s="3"/>
      <c r="B304" s="3"/>
      <c r="C304" s="3"/>
      <c r="D304" s="3"/>
      <c r="E304" s="4"/>
      <c r="F304" s="3"/>
      <c r="G304" s="5"/>
      <c r="H304" s="5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>
      <c r="A305" s="3"/>
      <c r="B305" s="3"/>
      <c r="C305" s="3"/>
      <c r="D305" s="3"/>
      <c r="E305" s="4"/>
      <c r="F305" s="3"/>
      <c r="G305" s="5"/>
      <c r="H305" s="5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>
      <c r="A306" s="3"/>
      <c r="B306" s="3"/>
      <c r="C306" s="3"/>
      <c r="D306" s="3"/>
      <c r="E306" s="4"/>
      <c r="F306" s="3"/>
      <c r="G306" s="5"/>
      <c r="H306" s="5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>
      <c r="A307" s="3"/>
      <c r="B307" s="3"/>
      <c r="C307" s="3"/>
      <c r="D307" s="3"/>
      <c r="E307" s="4"/>
      <c r="F307" s="3"/>
      <c r="G307" s="5"/>
      <c r="H307" s="5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>
      <c r="A308" s="3"/>
      <c r="B308" s="3"/>
      <c r="C308" s="3"/>
      <c r="D308" s="3"/>
      <c r="E308" s="4"/>
      <c r="F308" s="3"/>
      <c r="G308" s="5"/>
      <c r="H308" s="5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>
      <c r="A309" s="3"/>
      <c r="B309" s="3"/>
      <c r="C309" s="3"/>
      <c r="D309" s="3"/>
      <c r="E309" s="4"/>
      <c r="F309" s="3"/>
      <c r="G309" s="5"/>
      <c r="H309" s="5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>
      <c r="A310" s="3"/>
      <c r="B310" s="3"/>
      <c r="C310" s="3"/>
      <c r="D310" s="3"/>
      <c r="E310" s="4"/>
      <c r="F310" s="3"/>
      <c r="G310" s="5"/>
      <c r="H310" s="5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>
      <c r="A311" s="3"/>
      <c r="B311" s="3"/>
      <c r="C311" s="3"/>
      <c r="D311" s="3"/>
      <c r="E311" s="4"/>
      <c r="F311" s="3"/>
      <c r="G311" s="5"/>
      <c r="H311" s="5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>
      <c r="A312" s="3"/>
      <c r="B312" s="3"/>
      <c r="C312" s="3"/>
      <c r="D312" s="3"/>
      <c r="E312" s="4"/>
      <c r="F312" s="3"/>
      <c r="G312" s="5"/>
      <c r="H312" s="5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>
      <c r="A313" s="3"/>
      <c r="B313" s="3"/>
      <c r="C313" s="3"/>
      <c r="D313" s="3"/>
      <c r="E313" s="4"/>
      <c r="F313" s="3"/>
      <c r="G313" s="5"/>
      <c r="H313" s="5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>
      <c r="A314" s="3"/>
      <c r="B314" s="3"/>
      <c r="C314" s="3"/>
      <c r="D314" s="3"/>
      <c r="E314" s="4"/>
      <c r="F314" s="3"/>
      <c r="G314" s="5"/>
      <c r="H314" s="5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>
      <c r="A315" s="3"/>
      <c r="B315" s="3"/>
      <c r="C315" s="3"/>
      <c r="D315" s="3"/>
      <c r="E315" s="4"/>
      <c r="F315" s="3"/>
      <c r="G315" s="5"/>
      <c r="H315" s="5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>
      <c r="A316" s="3"/>
      <c r="B316" s="3"/>
      <c r="C316" s="3"/>
      <c r="D316" s="3"/>
      <c r="E316" s="4"/>
      <c r="F316" s="3"/>
      <c r="G316" s="5"/>
      <c r="H316" s="5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>
      <c r="A317" s="3"/>
      <c r="B317" s="3"/>
      <c r="C317" s="3"/>
      <c r="D317" s="3"/>
      <c r="E317" s="4"/>
      <c r="F317" s="3"/>
      <c r="G317" s="5"/>
      <c r="H317" s="5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>
      <c r="A318" s="3"/>
      <c r="B318" s="3"/>
      <c r="C318" s="3"/>
      <c r="D318" s="3"/>
      <c r="E318" s="4"/>
      <c r="F318" s="3"/>
      <c r="G318" s="5"/>
      <c r="H318" s="5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>
      <c r="A319" s="3"/>
      <c r="B319" s="3"/>
      <c r="C319" s="3"/>
      <c r="D319" s="3"/>
      <c r="E319" s="4"/>
      <c r="F319" s="3"/>
      <c r="G319" s="5"/>
      <c r="H319" s="5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>
      <c r="A320" s="3"/>
      <c r="B320" s="3"/>
      <c r="C320" s="3"/>
      <c r="D320" s="3"/>
      <c r="E320" s="4"/>
      <c r="F320" s="3"/>
      <c r="G320" s="5"/>
      <c r="H320" s="5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>
      <c r="A321" s="3"/>
      <c r="B321" s="3"/>
      <c r="C321" s="3"/>
      <c r="D321" s="3"/>
      <c r="E321" s="4"/>
      <c r="F321" s="3"/>
      <c r="G321" s="5"/>
      <c r="H321" s="5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>
      <c r="A322" s="3"/>
      <c r="B322" s="3"/>
      <c r="C322" s="3"/>
      <c r="D322" s="3"/>
      <c r="E322" s="4"/>
      <c r="F322" s="3"/>
      <c r="G322" s="5"/>
      <c r="H322" s="5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>
      <c r="A323" s="3"/>
      <c r="B323" s="3"/>
      <c r="C323" s="3"/>
      <c r="D323" s="3"/>
      <c r="E323" s="4"/>
      <c r="F323" s="3"/>
      <c r="G323" s="5"/>
      <c r="H323" s="5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>
      <c r="A324" s="3"/>
      <c r="B324" s="3"/>
      <c r="C324" s="3"/>
      <c r="D324" s="3"/>
      <c r="E324" s="4"/>
      <c r="F324" s="3"/>
      <c r="G324" s="5"/>
      <c r="H324" s="5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>
      <c r="A325" s="3"/>
      <c r="B325" s="3"/>
      <c r="C325" s="3"/>
      <c r="D325" s="3"/>
      <c r="E325" s="4"/>
      <c r="F325" s="3"/>
      <c r="G325" s="5"/>
      <c r="H325" s="5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>
      <c r="A326" s="3"/>
      <c r="B326" s="3"/>
      <c r="C326" s="3"/>
      <c r="D326" s="3"/>
      <c r="E326" s="4"/>
      <c r="F326" s="3"/>
      <c r="G326" s="5"/>
      <c r="H326" s="5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>
      <c r="A327" s="3"/>
      <c r="B327" s="3"/>
      <c r="C327" s="3"/>
      <c r="D327" s="3"/>
      <c r="E327" s="4"/>
      <c r="F327" s="3"/>
      <c r="G327" s="5"/>
      <c r="H327" s="5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>
      <c r="A328" s="3"/>
      <c r="B328" s="3"/>
      <c r="C328" s="3"/>
      <c r="D328" s="3"/>
      <c r="E328" s="4"/>
      <c r="F328" s="3"/>
      <c r="G328" s="5"/>
      <c r="H328" s="5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>
      <c r="A329" s="3"/>
      <c r="B329" s="3"/>
      <c r="C329" s="3"/>
      <c r="D329" s="3"/>
      <c r="E329" s="4"/>
      <c r="F329" s="3"/>
      <c r="G329" s="5"/>
      <c r="H329" s="5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>
      <c r="A330" s="3"/>
      <c r="B330" s="3"/>
      <c r="C330" s="3"/>
      <c r="D330" s="3"/>
      <c r="E330" s="4"/>
      <c r="F330" s="3"/>
      <c r="G330" s="5"/>
      <c r="H330" s="5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>
      <c r="A331" s="3"/>
      <c r="B331" s="3"/>
      <c r="C331" s="3"/>
      <c r="D331" s="3"/>
      <c r="E331" s="4"/>
      <c r="F331" s="3"/>
      <c r="G331" s="5"/>
      <c r="H331" s="5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>
      <c r="A332" s="3"/>
      <c r="B332" s="3"/>
      <c r="C332" s="3"/>
      <c r="D332" s="3"/>
      <c r="E332" s="4"/>
      <c r="F332" s="3"/>
      <c r="G332" s="5"/>
      <c r="H332" s="5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>
      <c r="A333" s="3"/>
      <c r="B333" s="3"/>
      <c r="C333" s="3"/>
      <c r="D333" s="3"/>
      <c r="E333" s="4"/>
      <c r="F333" s="3"/>
      <c r="G333" s="5"/>
      <c r="H333" s="5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>
      <c r="A334" s="3"/>
      <c r="B334" s="3"/>
      <c r="C334" s="3"/>
      <c r="D334" s="3"/>
      <c r="E334" s="4"/>
      <c r="F334" s="3"/>
      <c r="G334" s="5"/>
      <c r="H334" s="5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>
      <c r="A335" s="3"/>
      <c r="B335" s="3"/>
      <c r="C335" s="3"/>
      <c r="D335" s="3"/>
      <c r="E335" s="4"/>
      <c r="F335" s="3"/>
      <c r="G335" s="5"/>
      <c r="H335" s="5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>
      <c r="A336" s="3"/>
      <c r="B336" s="3"/>
      <c r="C336" s="3"/>
      <c r="D336" s="3"/>
      <c r="E336" s="4"/>
      <c r="F336" s="3"/>
      <c r="G336" s="5"/>
      <c r="H336" s="5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>
      <c r="A337" s="3"/>
      <c r="B337" s="3"/>
      <c r="C337" s="3"/>
      <c r="D337" s="3"/>
      <c r="E337" s="4"/>
      <c r="F337" s="3"/>
      <c r="G337" s="5"/>
      <c r="H337" s="5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>
      <c r="A338" s="3"/>
      <c r="B338" s="3"/>
      <c r="C338" s="3"/>
      <c r="D338" s="3"/>
      <c r="E338" s="4"/>
      <c r="F338" s="3"/>
      <c r="G338" s="5"/>
      <c r="H338" s="5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>
      <c r="A339" s="3"/>
      <c r="B339" s="3"/>
      <c r="C339" s="3"/>
      <c r="D339" s="3"/>
      <c r="E339" s="4"/>
      <c r="F339" s="3"/>
      <c r="G339" s="5"/>
      <c r="H339" s="5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>
      <c r="A340" s="3"/>
      <c r="B340" s="3"/>
      <c r="C340" s="3"/>
      <c r="D340" s="3"/>
      <c r="E340" s="4"/>
      <c r="F340" s="3"/>
      <c r="G340" s="5"/>
      <c r="H340" s="5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>
      <c r="A341" s="3"/>
      <c r="B341" s="3"/>
      <c r="C341" s="3"/>
      <c r="D341" s="3"/>
      <c r="E341" s="4"/>
      <c r="F341" s="3"/>
      <c r="G341" s="5"/>
      <c r="H341" s="5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>
      <c r="A342" s="3"/>
      <c r="B342" s="3"/>
      <c r="C342" s="3"/>
      <c r="D342" s="3"/>
      <c r="E342" s="4"/>
      <c r="F342" s="3"/>
      <c r="G342" s="5"/>
      <c r="H342" s="5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>
      <c r="A343" s="3"/>
      <c r="B343" s="3"/>
      <c r="C343" s="3"/>
      <c r="D343" s="3"/>
      <c r="E343" s="4"/>
      <c r="F343" s="3"/>
      <c r="G343" s="5"/>
      <c r="H343" s="5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>
      <c r="A344" s="3"/>
      <c r="B344" s="3"/>
      <c r="C344" s="3"/>
      <c r="D344" s="3"/>
      <c r="E344" s="4"/>
      <c r="F344" s="3"/>
      <c r="G344" s="5"/>
      <c r="H344" s="5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>
      <c r="A345" s="3"/>
      <c r="B345" s="3"/>
      <c r="C345" s="3"/>
      <c r="D345" s="3"/>
      <c r="E345" s="4"/>
      <c r="F345" s="3"/>
      <c r="G345" s="5"/>
      <c r="H345" s="5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>
      <c r="A346" s="3"/>
      <c r="B346" s="3"/>
      <c r="C346" s="3"/>
      <c r="D346" s="3"/>
      <c r="E346" s="4"/>
      <c r="F346" s="3"/>
      <c r="G346" s="5"/>
      <c r="H346" s="5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>
      <c r="A347" s="3"/>
      <c r="B347" s="3"/>
      <c r="C347" s="3"/>
      <c r="D347" s="3"/>
      <c r="E347" s="4"/>
      <c r="F347" s="3"/>
      <c r="G347" s="5"/>
      <c r="H347" s="5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>
      <c r="A348" s="3"/>
      <c r="B348" s="3"/>
      <c r="C348" s="3"/>
      <c r="D348" s="3"/>
      <c r="E348" s="4"/>
      <c r="F348" s="3"/>
      <c r="G348" s="5"/>
      <c r="H348" s="5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>
      <c r="A349" s="3"/>
      <c r="B349" s="3"/>
      <c r="C349" s="3"/>
      <c r="D349" s="3"/>
      <c r="E349" s="4"/>
      <c r="F349" s="3"/>
      <c r="G349" s="5"/>
      <c r="H349" s="5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>
      <c r="A350" s="3"/>
      <c r="B350" s="3"/>
      <c r="C350" s="3"/>
      <c r="D350" s="3"/>
      <c r="E350" s="4"/>
      <c r="F350" s="3"/>
      <c r="G350" s="5"/>
      <c r="H350" s="5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>
      <c r="A351" s="3"/>
      <c r="B351" s="3"/>
      <c r="C351" s="3"/>
      <c r="D351" s="3"/>
      <c r="E351" s="4"/>
      <c r="F351" s="3"/>
      <c r="G351" s="5"/>
      <c r="H351" s="5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>
      <c r="A352" s="3"/>
      <c r="B352" s="3"/>
      <c r="C352" s="3"/>
      <c r="D352" s="3"/>
      <c r="E352" s="4"/>
      <c r="F352" s="3"/>
      <c r="G352" s="5"/>
      <c r="H352" s="5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>
      <c r="A353" s="3"/>
      <c r="B353" s="3"/>
      <c r="C353" s="3"/>
      <c r="D353" s="3"/>
      <c r="E353" s="4"/>
      <c r="F353" s="3"/>
      <c r="G353" s="5"/>
      <c r="H353" s="5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>
      <c r="A354" s="3"/>
      <c r="B354" s="3"/>
      <c r="C354" s="3"/>
      <c r="D354" s="3"/>
      <c r="E354" s="4"/>
      <c r="F354" s="3"/>
      <c r="G354" s="5"/>
      <c r="H354" s="5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>
      <c r="A355" s="3"/>
      <c r="B355" s="3"/>
      <c r="C355" s="3"/>
      <c r="D355" s="3"/>
      <c r="E355" s="4"/>
      <c r="F355" s="3"/>
      <c r="G355" s="5"/>
      <c r="H355" s="5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>
      <c r="A356" s="3"/>
      <c r="B356" s="3"/>
      <c r="C356" s="3"/>
      <c r="D356" s="3"/>
      <c r="E356" s="4"/>
      <c r="F356" s="3"/>
      <c r="G356" s="5"/>
      <c r="H356" s="5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>
      <c r="A357" s="3"/>
      <c r="B357" s="3"/>
      <c r="C357" s="3"/>
      <c r="D357" s="3"/>
      <c r="E357" s="4"/>
      <c r="F357" s="3"/>
      <c r="G357" s="5"/>
      <c r="H357" s="5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>
      <c r="A358" s="3"/>
      <c r="B358" s="3"/>
      <c r="C358" s="3"/>
      <c r="D358" s="3"/>
      <c r="E358" s="4"/>
      <c r="F358" s="3"/>
      <c r="G358" s="5"/>
      <c r="H358" s="5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>
      <c r="A359" s="3"/>
      <c r="B359" s="3"/>
      <c r="C359" s="3"/>
      <c r="D359" s="3"/>
      <c r="E359" s="4"/>
      <c r="F359" s="3"/>
      <c r="G359" s="5"/>
      <c r="H359" s="5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>
      <c r="A360" s="3"/>
      <c r="B360" s="3"/>
      <c r="C360" s="3"/>
      <c r="D360" s="3"/>
      <c r="E360" s="4"/>
      <c r="F360" s="3"/>
      <c r="G360" s="5"/>
      <c r="H360" s="5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>
      <c r="A361" s="3"/>
      <c r="B361" s="3"/>
      <c r="C361" s="3"/>
      <c r="D361" s="3"/>
      <c r="E361" s="4"/>
      <c r="F361" s="3"/>
      <c r="G361" s="5"/>
      <c r="H361" s="5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>
      <c r="A362" s="3"/>
      <c r="B362" s="3"/>
      <c r="C362" s="3"/>
      <c r="D362" s="3"/>
      <c r="E362" s="4"/>
      <c r="F362" s="3"/>
      <c r="G362" s="5"/>
      <c r="H362" s="5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>
      <c r="A363" s="3"/>
      <c r="B363" s="3"/>
      <c r="C363" s="3"/>
      <c r="D363" s="3"/>
      <c r="E363" s="4"/>
      <c r="F363" s="3"/>
      <c r="G363" s="5"/>
      <c r="H363" s="5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>
      <c r="A364" s="3"/>
      <c r="B364" s="3"/>
      <c r="C364" s="3"/>
      <c r="D364" s="3"/>
      <c r="E364" s="4"/>
      <c r="F364" s="3"/>
      <c r="G364" s="5"/>
      <c r="H364" s="5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>
      <c r="A365" s="3"/>
      <c r="B365" s="3"/>
      <c r="C365" s="3"/>
      <c r="D365" s="3"/>
      <c r="E365" s="4"/>
      <c r="F365" s="3"/>
      <c r="G365" s="5"/>
      <c r="H365" s="5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>
      <c r="A366" s="3"/>
      <c r="B366" s="3"/>
      <c r="C366" s="3"/>
      <c r="D366" s="3"/>
      <c r="E366" s="4"/>
      <c r="F366" s="3"/>
      <c r="G366" s="5"/>
      <c r="H366" s="5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>
      <c r="A367" s="3"/>
      <c r="B367" s="3"/>
      <c r="C367" s="3"/>
      <c r="D367" s="3"/>
      <c r="E367" s="4"/>
      <c r="F367" s="3"/>
      <c r="G367" s="5"/>
      <c r="H367" s="5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>
      <c r="A368" s="3"/>
      <c r="B368" s="3"/>
      <c r="C368" s="3"/>
      <c r="D368" s="3"/>
      <c r="E368" s="4"/>
      <c r="F368" s="3"/>
      <c r="G368" s="5"/>
      <c r="H368" s="5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>
      <c r="A369" s="3"/>
      <c r="B369" s="3"/>
      <c r="C369" s="3"/>
      <c r="D369" s="3"/>
      <c r="E369" s="4"/>
      <c r="F369" s="3"/>
      <c r="G369" s="5"/>
      <c r="H369" s="5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>
      <c r="A370" s="3"/>
      <c r="B370" s="3"/>
      <c r="C370" s="3"/>
      <c r="D370" s="3"/>
      <c r="E370" s="4"/>
      <c r="F370" s="3"/>
      <c r="G370" s="5"/>
      <c r="H370" s="5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>
      <c r="A371" s="3"/>
      <c r="B371" s="3"/>
      <c r="C371" s="3"/>
      <c r="D371" s="3"/>
      <c r="E371" s="4"/>
      <c r="F371" s="3"/>
      <c r="G371" s="5"/>
      <c r="H371" s="5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>
      <c r="A372" s="3"/>
      <c r="B372" s="3"/>
      <c r="C372" s="3"/>
      <c r="D372" s="3"/>
      <c r="E372" s="4"/>
      <c r="F372" s="3"/>
      <c r="G372" s="5"/>
      <c r="H372" s="5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>
      <c r="A373" s="3"/>
      <c r="B373" s="3"/>
      <c r="C373" s="3"/>
      <c r="D373" s="3"/>
      <c r="E373" s="4"/>
      <c r="F373" s="3"/>
      <c r="G373" s="5"/>
      <c r="H373" s="5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>
      <c r="A374" s="3"/>
      <c r="B374" s="3"/>
      <c r="C374" s="3"/>
      <c r="D374" s="3"/>
      <c r="E374" s="4"/>
      <c r="F374" s="3"/>
      <c r="G374" s="5"/>
      <c r="H374" s="5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>
      <c r="A375" s="3"/>
      <c r="B375" s="3"/>
      <c r="C375" s="3"/>
      <c r="D375" s="3"/>
      <c r="E375" s="4"/>
      <c r="F375" s="3"/>
      <c r="G375" s="5"/>
      <c r="H375" s="5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>
      <c r="A376" s="3"/>
      <c r="B376" s="3"/>
      <c r="C376" s="3"/>
      <c r="D376" s="3"/>
      <c r="E376" s="4"/>
      <c r="F376" s="3"/>
      <c r="G376" s="5"/>
      <c r="H376" s="5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>
      <c r="A377" s="3"/>
      <c r="B377" s="3"/>
      <c r="C377" s="3"/>
      <c r="D377" s="3"/>
      <c r="E377" s="4"/>
      <c r="F377" s="3"/>
      <c r="G377" s="5"/>
      <c r="H377" s="5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>
      <c r="A378" s="3"/>
      <c r="B378" s="3"/>
      <c r="C378" s="3"/>
      <c r="D378" s="3"/>
      <c r="E378" s="4"/>
      <c r="F378" s="3"/>
      <c r="G378" s="5"/>
      <c r="H378" s="5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>
      <c r="A379" s="3"/>
      <c r="B379" s="3"/>
      <c r="C379" s="3"/>
      <c r="D379" s="3"/>
      <c r="E379" s="4"/>
      <c r="F379" s="3"/>
      <c r="G379" s="5"/>
      <c r="H379" s="5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>
      <c r="A380" s="3"/>
      <c r="B380" s="3"/>
      <c r="C380" s="3"/>
      <c r="D380" s="3"/>
      <c r="E380" s="4"/>
      <c r="F380" s="3"/>
      <c r="G380" s="5"/>
      <c r="H380" s="5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>
      <c r="A381" s="3"/>
      <c r="B381" s="3"/>
      <c r="C381" s="3"/>
      <c r="D381" s="3"/>
      <c r="E381" s="4"/>
      <c r="F381" s="3"/>
      <c r="G381" s="5"/>
      <c r="H381" s="5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>
      <c r="A382" s="3"/>
      <c r="B382" s="3"/>
      <c r="C382" s="3"/>
      <c r="D382" s="3"/>
      <c r="E382" s="4"/>
      <c r="F382" s="3"/>
      <c r="G382" s="5"/>
      <c r="H382" s="5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>
      <c r="A383" s="3"/>
      <c r="B383" s="3"/>
      <c r="C383" s="3"/>
      <c r="D383" s="3"/>
      <c r="E383" s="4"/>
      <c r="F383" s="3"/>
      <c r="G383" s="5"/>
      <c r="H383" s="5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>
      <c r="A384" s="3"/>
      <c r="B384" s="3"/>
      <c r="C384" s="3"/>
      <c r="D384" s="3"/>
      <c r="E384" s="4"/>
      <c r="F384" s="3"/>
      <c r="G384" s="5"/>
      <c r="H384" s="5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>
      <c r="A385" s="3"/>
      <c r="B385" s="3"/>
      <c r="C385" s="3"/>
      <c r="D385" s="3"/>
      <c r="E385" s="4"/>
      <c r="F385" s="3"/>
      <c r="G385" s="5"/>
      <c r="H385" s="5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>
      <c r="A386" s="3"/>
      <c r="B386" s="3"/>
      <c r="C386" s="3"/>
      <c r="D386" s="3"/>
      <c r="E386" s="4"/>
      <c r="F386" s="3"/>
      <c r="G386" s="5"/>
      <c r="H386" s="5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>
      <c r="A387" s="3"/>
      <c r="B387" s="3"/>
      <c r="C387" s="3"/>
      <c r="D387" s="3"/>
      <c r="E387" s="4"/>
      <c r="F387" s="3"/>
      <c r="G387" s="5"/>
      <c r="H387" s="5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>
      <c r="A388" s="3"/>
      <c r="B388" s="3"/>
      <c r="C388" s="3"/>
      <c r="D388" s="3"/>
      <c r="E388" s="4"/>
      <c r="F388" s="3"/>
      <c r="G388" s="5"/>
      <c r="H388" s="5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>
      <c r="A389" s="3"/>
      <c r="B389" s="3"/>
      <c r="C389" s="3"/>
      <c r="D389" s="3"/>
      <c r="E389" s="4"/>
      <c r="F389" s="3"/>
      <c r="G389" s="5"/>
      <c r="H389" s="5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>
      <c r="A390" s="3"/>
      <c r="B390" s="3"/>
      <c r="C390" s="3"/>
      <c r="D390" s="3"/>
      <c r="E390" s="4"/>
      <c r="F390" s="3"/>
      <c r="G390" s="5"/>
      <c r="H390" s="5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>
      <c r="A391" s="3"/>
      <c r="B391" s="3"/>
      <c r="C391" s="3"/>
      <c r="D391" s="3"/>
      <c r="E391" s="4"/>
      <c r="F391" s="3"/>
      <c r="G391" s="5"/>
      <c r="H391" s="5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>
      <c r="A392" s="3"/>
      <c r="B392" s="3"/>
      <c r="C392" s="3"/>
      <c r="D392" s="3"/>
      <c r="E392" s="4"/>
      <c r="F392" s="3"/>
      <c r="G392" s="5"/>
      <c r="H392" s="5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>
      <c r="A393" s="3"/>
      <c r="B393" s="3"/>
      <c r="C393" s="3"/>
      <c r="D393" s="3"/>
      <c r="E393" s="4"/>
      <c r="F393" s="3"/>
      <c r="G393" s="5"/>
      <c r="H393" s="5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>
      <c r="A394" s="3"/>
      <c r="B394" s="3"/>
      <c r="C394" s="3"/>
      <c r="D394" s="3"/>
      <c r="E394" s="4"/>
      <c r="F394" s="3"/>
      <c r="G394" s="5"/>
      <c r="H394" s="5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>
      <c r="A395" s="3"/>
      <c r="B395" s="3"/>
      <c r="C395" s="3"/>
      <c r="D395" s="3"/>
      <c r="E395" s="4"/>
      <c r="F395" s="3"/>
      <c r="G395" s="5"/>
      <c r="H395" s="5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>
      <c r="A396" s="3"/>
      <c r="B396" s="3"/>
      <c r="C396" s="3"/>
      <c r="D396" s="3"/>
      <c r="E396" s="4"/>
      <c r="F396" s="3"/>
      <c r="G396" s="5"/>
      <c r="H396" s="5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>
      <c r="A397" s="3"/>
      <c r="B397" s="3"/>
      <c r="C397" s="3"/>
      <c r="D397" s="3"/>
      <c r="E397" s="4"/>
      <c r="F397" s="3"/>
      <c r="G397" s="5"/>
      <c r="H397" s="5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>
      <c r="A398" s="3"/>
      <c r="B398" s="3"/>
      <c r="C398" s="3"/>
      <c r="D398" s="3"/>
      <c r="E398" s="4"/>
      <c r="F398" s="3"/>
      <c r="G398" s="5"/>
      <c r="H398" s="5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>
      <c r="A399" s="3"/>
      <c r="B399" s="3"/>
      <c r="C399" s="3"/>
      <c r="D399" s="3"/>
      <c r="E399" s="4"/>
      <c r="F399" s="3"/>
      <c r="G399" s="5"/>
      <c r="H399" s="5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>
      <c r="A400" s="3"/>
      <c r="B400" s="3"/>
      <c r="C400" s="3"/>
      <c r="D400" s="3"/>
      <c r="E400" s="4"/>
      <c r="F400" s="3"/>
      <c r="G400" s="5"/>
      <c r="H400" s="5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>
      <c r="A401" s="3"/>
      <c r="B401" s="3"/>
      <c r="C401" s="3"/>
      <c r="D401" s="3"/>
      <c r="E401" s="4"/>
      <c r="F401" s="3"/>
      <c r="G401" s="5"/>
      <c r="H401" s="5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>
      <c r="A402" s="3"/>
      <c r="B402" s="3"/>
      <c r="C402" s="3"/>
      <c r="D402" s="3"/>
      <c r="E402" s="4"/>
      <c r="F402" s="3"/>
      <c r="G402" s="5"/>
      <c r="H402" s="5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>
      <c r="A403" s="3"/>
      <c r="B403" s="3"/>
      <c r="C403" s="3"/>
      <c r="D403" s="3"/>
      <c r="E403" s="4"/>
      <c r="F403" s="3"/>
      <c r="G403" s="5"/>
      <c r="H403" s="5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>
      <c r="A404" s="3"/>
      <c r="B404" s="3"/>
      <c r="C404" s="3"/>
      <c r="D404" s="3"/>
      <c r="E404" s="4"/>
      <c r="F404" s="3"/>
      <c r="G404" s="5"/>
      <c r="H404" s="5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>
      <c r="A405" s="3"/>
      <c r="B405" s="3"/>
      <c r="C405" s="3"/>
      <c r="D405" s="3"/>
      <c r="E405" s="4"/>
      <c r="F405" s="3"/>
      <c r="G405" s="5"/>
      <c r="H405" s="5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>
      <c r="A406" s="3"/>
      <c r="B406" s="3"/>
      <c r="C406" s="3"/>
      <c r="D406" s="3"/>
      <c r="E406" s="4"/>
      <c r="F406" s="3"/>
      <c r="G406" s="5"/>
      <c r="H406" s="5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>
      <c r="A407" s="3"/>
      <c r="B407" s="3"/>
      <c r="C407" s="3"/>
      <c r="D407" s="3"/>
      <c r="E407" s="4"/>
      <c r="F407" s="3"/>
      <c r="G407" s="5"/>
      <c r="H407" s="5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>
      <c r="A408" s="3"/>
      <c r="B408" s="3"/>
      <c r="C408" s="3"/>
      <c r="D408" s="3"/>
      <c r="E408" s="4"/>
      <c r="F408" s="3"/>
      <c r="G408" s="5"/>
      <c r="H408" s="5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>
      <c r="A409" s="3"/>
      <c r="B409" s="3"/>
      <c r="C409" s="3"/>
      <c r="D409" s="3"/>
      <c r="E409" s="4"/>
      <c r="F409" s="3"/>
      <c r="G409" s="5"/>
      <c r="H409" s="5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>
      <c r="A410" s="3"/>
      <c r="B410" s="3"/>
      <c r="C410" s="3"/>
      <c r="D410" s="3"/>
      <c r="E410" s="4"/>
      <c r="F410" s="3"/>
      <c r="G410" s="5"/>
      <c r="H410" s="5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>
      <c r="A411" s="3"/>
      <c r="B411" s="3"/>
      <c r="C411" s="3"/>
      <c r="D411" s="3"/>
      <c r="E411" s="4"/>
      <c r="F411" s="3"/>
      <c r="G411" s="5"/>
      <c r="H411" s="5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>
      <c r="A412" s="3"/>
      <c r="B412" s="3"/>
      <c r="C412" s="3"/>
      <c r="D412" s="3"/>
      <c r="E412" s="4"/>
      <c r="F412" s="3"/>
      <c r="G412" s="5"/>
      <c r="H412" s="5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>
      <c r="A413" s="3"/>
      <c r="B413" s="3"/>
      <c r="C413" s="3"/>
      <c r="D413" s="3"/>
      <c r="E413" s="4"/>
      <c r="F413" s="3"/>
      <c r="G413" s="5"/>
      <c r="H413" s="5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>
      <c r="A414" s="3"/>
      <c r="B414" s="3"/>
      <c r="C414" s="3"/>
      <c r="D414" s="3"/>
      <c r="E414" s="4"/>
      <c r="F414" s="3"/>
      <c r="G414" s="5"/>
      <c r="H414" s="5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>
      <c r="A415" s="3"/>
      <c r="B415" s="3"/>
      <c r="C415" s="3"/>
      <c r="D415" s="3"/>
      <c r="E415" s="4"/>
      <c r="F415" s="3"/>
      <c r="G415" s="5"/>
      <c r="H415" s="5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>
      <c r="A416" s="3"/>
      <c r="B416" s="3"/>
      <c r="C416" s="3"/>
      <c r="D416" s="3"/>
      <c r="E416" s="4"/>
      <c r="F416" s="3"/>
      <c r="G416" s="5"/>
      <c r="H416" s="5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>
      <c r="A417" s="3"/>
      <c r="B417" s="3"/>
      <c r="C417" s="3"/>
      <c r="D417" s="3"/>
      <c r="E417" s="4"/>
      <c r="F417" s="3"/>
      <c r="G417" s="5"/>
      <c r="H417" s="5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>
      <c r="A418" s="3"/>
      <c r="B418" s="3"/>
      <c r="C418" s="3"/>
      <c r="D418" s="3"/>
      <c r="E418" s="4"/>
      <c r="F418" s="3"/>
      <c r="G418" s="5"/>
      <c r="H418" s="5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>
      <c r="A419" s="3"/>
      <c r="B419" s="3"/>
      <c r="C419" s="3"/>
      <c r="D419" s="3"/>
      <c r="E419" s="4"/>
      <c r="F419" s="3"/>
      <c r="G419" s="5"/>
      <c r="H419" s="5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>
      <c r="A420" s="3"/>
      <c r="B420" s="3"/>
      <c r="C420" s="3"/>
      <c r="D420" s="3"/>
      <c r="E420" s="4"/>
      <c r="F420" s="3"/>
      <c r="G420" s="5"/>
      <c r="H420" s="5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>
      <c r="A421" s="3"/>
      <c r="B421" s="3"/>
      <c r="C421" s="3"/>
      <c r="D421" s="3"/>
      <c r="E421" s="4"/>
      <c r="F421" s="3"/>
      <c r="G421" s="5"/>
      <c r="H421" s="5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>
      <c r="A422" s="3"/>
      <c r="B422" s="3"/>
      <c r="C422" s="3"/>
      <c r="D422" s="3"/>
      <c r="E422" s="4"/>
      <c r="F422" s="3"/>
      <c r="G422" s="5"/>
      <c r="H422" s="5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>
      <c r="A423" s="3"/>
      <c r="B423" s="3"/>
      <c r="C423" s="3"/>
      <c r="D423" s="3"/>
      <c r="E423" s="4"/>
      <c r="F423" s="3"/>
      <c r="G423" s="5"/>
      <c r="H423" s="5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>
      <c r="A424" s="3"/>
      <c r="B424" s="3"/>
      <c r="C424" s="3"/>
      <c r="D424" s="3"/>
      <c r="E424" s="4"/>
      <c r="F424" s="3"/>
      <c r="G424" s="5"/>
      <c r="H424" s="5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>
      <c r="A425" s="3"/>
      <c r="B425" s="3"/>
      <c r="C425" s="3"/>
      <c r="D425" s="3"/>
      <c r="E425" s="4"/>
      <c r="F425" s="3"/>
      <c r="G425" s="5"/>
      <c r="H425" s="5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>
      <c r="A426" s="3"/>
      <c r="B426" s="3"/>
      <c r="C426" s="3"/>
      <c r="D426" s="3"/>
      <c r="E426" s="4"/>
      <c r="F426" s="3"/>
      <c r="G426" s="5"/>
      <c r="H426" s="5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>
      <c r="A427" s="3"/>
      <c r="B427" s="3"/>
      <c r="C427" s="3"/>
      <c r="D427" s="3"/>
      <c r="E427" s="4"/>
      <c r="F427" s="3"/>
      <c r="G427" s="5"/>
      <c r="H427" s="5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>
      <c r="A428" s="3"/>
      <c r="B428" s="3"/>
      <c r="C428" s="3"/>
      <c r="D428" s="3"/>
      <c r="E428" s="4"/>
      <c r="F428" s="3"/>
      <c r="G428" s="5"/>
      <c r="H428" s="5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>
      <c r="A429" s="3"/>
      <c r="B429" s="3"/>
      <c r="C429" s="3"/>
      <c r="D429" s="3"/>
      <c r="E429" s="4"/>
      <c r="F429" s="3"/>
      <c r="G429" s="5"/>
      <c r="H429" s="5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>
      <c r="A430" s="3"/>
      <c r="B430" s="3"/>
      <c r="C430" s="3"/>
      <c r="D430" s="3"/>
      <c r="E430" s="4"/>
      <c r="F430" s="3"/>
      <c r="G430" s="5"/>
      <c r="H430" s="5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>
      <c r="A431" s="3"/>
      <c r="B431" s="3"/>
      <c r="C431" s="3"/>
      <c r="D431" s="3"/>
      <c r="E431" s="4"/>
      <c r="F431" s="3"/>
      <c r="G431" s="5"/>
      <c r="H431" s="5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>
      <c r="A432" s="3"/>
      <c r="B432" s="3"/>
      <c r="C432" s="3"/>
      <c r="D432" s="3"/>
      <c r="E432" s="4"/>
      <c r="F432" s="3"/>
      <c r="G432" s="5"/>
      <c r="H432" s="5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>
      <c r="A433" s="3"/>
      <c r="B433" s="3"/>
      <c r="C433" s="3"/>
      <c r="D433" s="3"/>
      <c r="E433" s="4"/>
      <c r="F433" s="3"/>
      <c r="G433" s="5"/>
      <c r="H433" s="5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>
      <c r="A434" s="3"/>
      <c r="B434" s="3"/>
      <c r="C434" s="3"/>
      <c r="D434" s="3"/>
      <c r="E434" s="4"/>
      <c r="F434" s="3"/>
      <c r="G434" s="5"/>
      <c r="H434" s="5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>
      <c r="A435" s="3"/>
      <c r="B435" s="3"/>
      <c r="C435" s="3"/>
      <c r="D435" s="3"/>
      <c r="E435" s="4"/>
      <c r="F435" s="3"/>
      <c r="G435" s="5"/>
      <c r="H435" s="5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>
      <c r="A436" s="3"/>
      <c r="B436" s="3"/>
      <c r="C436" s="3"/>
      <c r="D436" s="3"/>
      <c r="E436" s="4"/>
      <c r="F436" s="3"/>
      <c r="G436" s="5"/>
      <c r="H436" s="5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>
      <c r="A437" s="3"/>
      <c r="B437" s="3"/>
      <c r="C437" s="3"/>
      <c r="D437" s="3"/>
      <c r="E437" s="4"/>
      <c r="F437" s="3"/>
      <c r="G437" s="5"/>
      <c r="H437" s="5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>
      <c r="A438" s="3"/>
      <c r="B438" s="3"/>
      <c r="C438" s="3"/>
      <c r="D438" s="3"/>
      <c r="E438" s="4"/>
      <c r="F438" s="3"/>
      <c r="G438" s="5"/>
      <c r="H438" s="5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>
      <c r="A439" s="3"/>
      <c r="B439" s="3"/>
      <c r="C439" s="3"/>
      <c r="D439" s="3"/>
      <c r="E439" s="4"/>
      <c r="F439" s="3"/>
      <c r="G439" s="5"/>
      <c r="H439" s="5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>
      <c r="A440" s="3"/>
      <c r="B440" s="3"/>
      <c r="C440" s="3"/>
      <c r="D440" s="3"/>
      <c r="E440" s="4"/>
      <c r="F440" s="3"/>
      <c r="G440" s="5"/>
      <c r="H440" s="5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>
      <c r="A441" s="3"/>
      <c r="B441" s="3"/>
      <c r="C441" s="3"/>
      <c r="D441" s="3"/>
      <c r="E441" s="4"/>
      <c r="F441" s="3"/>
      <c r="G441" s="5"/>
      <c r="H441" s="5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>
      <c r="A442" s="3"/>
      <c r="B442" s="3"/>
      <c r="C442" s="3"/>
      <c r="D442" s="3"/>
      <c r="E442" s="4"/>
      <c r="F442" s="3"/>
      <c r="G442" s="5"/>
      <c r="H442" s="5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>
      <c r="A443" s="3"/>
      <c r="B443" s="3"/>
      <c r="C443" s="3"/>
      <c r="D443" s="3"/>
      <c r="E443" s="4"/>
      <c r="F443" s="3"/>
      <c r="G443" s="5"/>
      <c r="H443" s="5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>
      <c r="A444" s="3"/>
      <c r="B444" s="3"/>
      <c r="C444" s="3"/>
      <c r="D444" s="3"/>
      <c r="E444" s="4"/>
      <c r="F444" s="3"/>
      <c r="G444" s="5"/>
      <c r="H444" s="5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>
      <c r="A445" s="3"/>
      <c r="B445" s="3"/>
      <c r="C445" s="3"/>
      <c r="D445" s="3"/>
      <c r="E445" s="4"/>
      <c r="F445" s="3"/>
      <c r="G445" s="5"/>
      <c r="H445" s="5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>
      <c r="A446" s="3"/>
      <c r="B446" s="3"/>
      <c r="C446" s="3"/>
      <c r="D446" s="3"/>
      <c r="E446" s="4"/>
      <c r="F446" s="3"/>
      <c r="G446" s="5"/>
      <c r="H446" s="5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>
      <c r="A447" s="3"/>
      <c r="B447" s="3"/>
      <c r="C447" s="3"/>
      <c r="D447" s="3"/>
      <c r="E447" s="4"/>
      <c r="F447" s="3"/>
      <c r="G447" s="5"/>
      <c r="H447" s="5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>
      <c r="A448" s="3"/>
      <c r="B448" s="3"/>
      <c r="C448" s="3"/>
      <c r="D448" s="3"/>
      <c r="E448" s="4"/>
      <c r="F448" s="3"/>
      <c r="G448" s="5"/>
      <c r="H448" s="5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>
      <c r="A449" s="3"/>
      <c r="B449" s="3"/>
      <c r="C449" s="3"/>
      <c r="D449" s="3"/>
      <c r="E449" s="4"/>
      <c r="F449" s="3"/>
      <c r="G449" s="5"/>
      <c r="H449" s="5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>
      <c r="A450" s="3"/>
      <c r="B450" s="3"/>
      <c r="C450" s="3"/>
      <c r="D450" s="3"/>
      <c r="E450" s="4"/>
      <c r="F450" s="3"/>
      <c r="G450" s="5"/>
      <c r="H450" s="5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>
      <c r="A451" s="3"/>
      <c r="B451" s="3"/>
      <c r="C451" s="3"/>
      <c r="D451" s="3"/>
      <c r="E451" s="4"/>
      <c r="F451" s="3"/>
      <c r="G451" s="5"/>
      <c r="H451" s="5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>
      <c r="A452" s="3"/>
      <c r="B452" s="3"/>
      <c r="C452" s="3"/>
      <c r="D452" s="3"/>
      <c r="E452" s="4"/>
      <c r="F452" s="3"/>
      <c r="G452" s="5"/>
      <c r="H452" s="5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>
      <c r="A453" s="3"/>
      <c r="B453" s="3"/>
      <c r="C453" s="3"/>
      <c r="D453" s="3"/>
      <c r="E453" s="4"/>
      <c r="F453" s="3"/>
      <c r="G453" s="5"/>
      <c r="H453" s="5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>
      <c r="A454" s="3"/>
      <c r="B454" s="3"/>
      <c r="C454" s="3"/>
      <c r="D454" s="3"/>
      <c r="E454" s="4"/>
      <c r="F454" s="3"/>
      <c r="G454" s="5"/>
      <c r="H454" s="5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>
      <c r="A455" s="3"/>
      <c r="B455" s="3"/>
      <c r="C455" s="3"/>
      <c r="D455" s="3"/>
      <c r="E455" s="4"/>
      <c r="F455" s="3"/>
      <c r="G455" s="5"/>
      <c r="H455" s="5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>
      <c r="A456" s="3"/>
      <c r="B456" s="3"/>
      <c r="C456" s="3"/>
      <c r="D456" s="3"/>
      <c r="E456" s="4"/>
      <c r="F456" s="3"/>
      <c r="G456" s="5"/>
      <c r="H456" s="5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>
      <c r="A457" s="3"/>
      <c r="B457" s="3"/>
      <c r="C457" s="3"/>
      <c r="D457" s="3"/>
      <c r="E457" s="4"/>
      <c r="F457" s="3"/>
      <c r="G457" s="5"/>
      <c r="H457" s="5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>
      <c r="A458" s="3"/>
      <c r="B458" s="3"/>
      <c r="C458" s="3"/>
      <c r="D458" s="3"/>
      <c r="E458" s="4"/>
      <c r="F458" s="3"/>
      <c r="G458" s="5"/>
      <c r="H458" s="5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>
      <c r="A459" s="3"/>
      <c r="B459" s="3"/>
      <c r="C459" s="3"/>
      <c r="D459" s="3"/>
      <c r="E459" s="4"/>
      <c r="F459" s="3"/>
      <c r="G459" s="5"/>
      <c r="H459" s="5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>
      <c r="A460" s="3"/>
      <c r="B460" s="3"/>
      <c r="C460" s="3"/>
      <c r="D460" s="3"/>
      <c r="E460" s="4"/>
      <c r="F460" s="3"/>
      <c r="G460" s="5"/>
      <c r="H460" s="5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>
      <c r="A461" s="3"/>
      <c r="B461" s="3"/>
      <c r="C461" s="3"/>
      <c r="D461" s="3"/>
      <c r="E461" s="4"/>
      <c r="F461" s="3"/>
      <c r="G461" s="5"/>
      <c r="H461" s="5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>
      <c r="A462" s="3"/>
      <c r="B462" s="3"/>
      <c r="C462" s="3"/>
      <c r="D462" s="3"/>
      <c r="E462" s="4"/>
      <c r="F462" s="3"/>
      <c r="G462" s="5"/>
      <c r="H462" s="5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>
      <c r="A463" s="3"/>
      <c r="B463" s="3"/>
      <c r="C463" s="3"/>
      <c r="D463" s="3"/>
      <c r="E463" s="4"/>
      <c r="F463" s="3"/>
      <c r="G463" s="5"/>
      <c r="H463" s="5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>
      <c r="A464" s="3"/>
      <c r="B464" s="3"/>
      <c r="C464" s="3"/>
      <c r="D464" s="3"/>
      <c r="E464" s="4"/>
      <c r="F464" s="3"/>
      <c r="G464" s="5"/>
      <c r="H464" s="5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>
      <c r="A465" s="3"/>
      <c r="B465" s="3"/>
      <c r="C465" s="3"/>
      <c r="D465" s="3"/>
      <c r="E465" s="4"/>
      <c r="F465" s="3"/>
      <c r="G465" s="5"/>
      <c r="H465" s="5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>
      <c r="A466" s="3"/>
      <c r="B466" s="3"/>
      <c r="C466" s="3"/>
      <c r="D466" s="3"/>
      <c r="E466" s="4"/>
      <c r="F466" s="3"/>
      <c r="G466" s="5"/>
      <c r="H466" s="5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>
      <c r="A467" s="3"/>
      <c r="B467" s="3"/>
      <c r="C467" s="3"/>
      <c r="D467" s="3"/>
      <c r="E467" s="4"/>
      <c r="F467" s="3"/>
      <c r="G467" s="5"/>
      <c r="H467" s="5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>
      <c r="A468" s="3"/>
      <c r="B468" s="3"/>
      <c r="C468" s="3"/>
      <c r="D468" s="3"/>
      <c r="E468" s="4"/>
      <c r="F468" s="3"/>
      <c r="G468" s="5"/>
      <c r="H468" s="5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>
      <c r="A469" s="3"/>
      <c r="B469" s="3"/>
      <c r="C469" s="3"/>
      <c r="D469" s="3"/>
      <c r="E469" s="4"/>
      <c r="F469" s="3"/>
      <c r="G469" s="5"/>
      <c r="H469" s="5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>
      <c r="A470" s="3"/>
      <c r="B470" s="3"/>
      <c r="C470" s="3"/>
      <c r="D470" s="3"/>
      <c r="E470" s="4"/>
      <c r="F470" s="3"/>
      <c r="G470" s="5"/>
      <c r="H470" s="5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>
      <c r="A471" s="3"/>
      <c r="B471" s="3"/>
      <c r="C471" s="3"/>
      <c r="D471" s="3"/>
      <c r="E471" s="4"/>
      <c r="F471" s="3"/>
      <c r="G471" s="5"/>
      <c r="H471" s="5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>
      <c r="A472" s="3"/>
      <c r="B472" s="3"/>
      <c r="C472" s="3"/>
      <c r="D472" s="3"/>
      <c r="E472" s="4"/>
      <c r="F472" s="3"/>
      <c r="G472" s="5"/>
      <c r="H472" s="5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>
      <c r="A473" s="3"/>
      <c r="B473" s="3"/>
      <c r="C473" s="3"/>
      <c r="D473" s="3"/>
      <c r="E473" s="4"/>
      <c r="F473" s="3"/>
      <c r="G473" s="5"/>
      <c r="H473" s="5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>
      <c r="A474" s="3"/>
      <c r="B474" s="3"/>
      <c r="C474" s="3"/>
      <c r="D474" s="3"/>
      <c r="E474" s="4"/>
      <c r="F474" s="3"/>
      <c r="G474" s="5"/>
      <c r="H474" s="5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>
      <c r="A475" s="3"/>
      <c r="B475" s="3"/>
      <c r="C475" s="3"/>
      <c r="D475" s="3"/>
      <c r="E475" s="4"/>
      <c r="F475" s="3"/>
      <c r="G475" s="5"/>
      <c r="H475" s="5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>
      <c r="A476" s="3"/>
      <c r="B476" s="3"/>
      <c r="C476" s="3"/>
      <c r="D476" s="3"/>
      <c r="E476" s="4"/>
      <c r="F476" s="3"/>
      <c r="G476" s="5"/>
      <c r="H476" s="5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>
      <c r="A477" s="3"/>
      <c r="B477" s="3"/>
      <c r="C477" s="3"/>
      <c r="D477" s="3"/>
      <c r="E477" s="4"/>
      <c r="F477" s="3"/>
      <c r="G477" s="5"/>
      <c r="H477" s="5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>
      <c r="A478" s="3"/>
      <c r="B478" s="3"/>
      <c r="C478" s="3"/>
      <c r="D478" s="3"/>
      <c r="E478" s="4"/>
      <c r="F478" s="3"/>
      <c r="G478" s="5"/>
      <c r="H478" s="5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>
      <c r="A479" s="3"/>
      <c r="B479" s="3"/>
      <c r="C479" s="3"/>
      <c r="D479" s="3"/>
      <c r="E479" s="4"/>
      <c r="F479" s="3"/>
      <c r="G479" s="5"/>
      <c r="H479" s="5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>
      <c r="A480" s="3"/>
      <c r="B480" s="3"/>
      <c r="C480" s="3"/>
      <c r="D480" s="3"/>
      <c r="E480" s="4"/>
      <c r="F480" s="3"/>
      <c r="G480" s="5"/>
      <c r="H480" s="5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>
      <c r="A481" s="3"/>
      <c r="B481" s="3"/>
      <c r="C481" s="3"/>
      <c r="D481" s="3"/>
      <c r="E481" s="4"/>
      <c r="F481" s="3"/>
      <c r="G481" s="5"/>
      <c r="H481" s="5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>
      <c r="A482" s="3"/>
      <c r="B482" s="3"/>
      <c r="C482" s="3"/>
      <c r="D482" s="3"/>
      <c r="E482" s="4"/>
      <c r="F482" s="3"/>
      <c r="G482" s="5"/>
      <c r="H482" s="5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>
      <c r="A483" s="3"/>
      <c r="B483" s="3"/>
      <c r="C483" s="3"/>
      <c r="D483" s="3"/>
      <c r="E483" s="4"/>
      <c r="F483" s="3"/>
      <c r="G483" s="5"/>
      <c r="H483" s="5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>
      <c r="A484" s="3"/>
      <c r="B484" s="3"/>
      <c r="C484" s="3"/>
      <c r="D484" s="3"/>
      <c r="E484" s="4"/>
      <c r="F484" s="3"/>
      <c r="G484" s="5"/>
      <c r="H484" s="5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>
      <c r="A485" s="3"/>
      <c r="B485" s="3"/>
      <c r="C485" s="3"/>
      <c r="D485" s="3"/>
      <c r="E485" s="4"/>
      <c r="F485" s="3"/>
      <c r="G485" s="5"/>
      <c r="H485" s="5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>
      <c r="A486" s="3"/>
      <c r="B486" s="3"/>
      <c r="C486" s="3"/>
      <c r="D486" s="3"/>
      <c r="E486" s="4"/>
      <c r="F486" s="3"/>
      <c r="G486" s="5"/>
      <c r="H486" s="5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>
      <c r="A487" s="3"/>
      <c r="B487" s="3"/>
      <c r="C487" s="3"/>
      <c r="D487" s="3"/>
      <c r="E487" s="4"/>
      <c r="F487" s="3"/>
      <c r="G487" s="5"/>
      <c r="H487" s="5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>
      <c r="A488" s="3"/>
      <c r="B488" s="3"/>
      <c r="C488" s="3"/>
      <c r="D488" s="3"/>
      <c r="E488" s="4"/>
      <c r="F488" s="3"/>
      <c r="G488" s="5"/>
      <c r="H488" s="5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>
      <c r="A489" s="3"/>
      <c r="B489" s="3"/>
      <c r="C489" s="3"/>
      <c r="D489" s="3"/>
      <c r="E489" s="4"/>
      <c r="F489" s="3"/>
      <c r="G489" s="5"/>
      <c r="H489" s="5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>
      <c r="A490" s="3"/>
      <c r="B490" s="3"/>
      <c r="C490" s="3"/>
      <c r="D490" s="3"/>
      <c r="E490" s="4"/>
      <c r="F490" s="3"/>
      <c r="G490" s="5"/>
      <c r="H490" s="5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>
      <c r="A491" s="3"/>
      <c r="B491" s="3"/>
      <c r="C491" s="3"/>
      <c r="D491" s="3"/>
      <c r="E491" s="4"/>
      <c r="F491" s="3"/>
      <c r="G491" s="5"/>
      <c r="H491" s="5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>
      <c r="A492" s="3"/>
      <c r="B492" s="3"/>
      <c r="C492" s="3"/>
      <c r="D492" s="3"/>
      <c r="E492" s="4"/>
      <c r="F492" s="3"/>
      <c r="G492" s="5"/>
      <c r="H492" s="5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>
      <c r="A493" s="3"/>
      <c r="B493" s="3"/>
      <c r="C493" s="3"/>
      <c r="D493" s="3"/>
      <c r="E493" s="4"/>
      <c r="F493" s="3"/>
      <c r="G493" s="5"/>
      <c r="H493" s="5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>
      <c r="A494" s="3"/>
      <c r="B494" s="3"/>
      <c r="C494" s="3"/>
      <c r="D494" s="3"/>
      <c r="E494" s="4"/>
      <c r="F494" s="3"/>
      <c r="G494" s="5"/>
      <c r="H494" s="5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>
      <c r="A495" s="3"/>
      <c r="B495" s="3"/>
      <c r="C495" s="3"/>
      <c r="D495" s="3"/>
      <c r="E495" s="4"/>
      <c r="F495" s="3"/>
      <c r="G495" s="5"/>
      <c r="H495" s="5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>
      <c r="A496" s="3"/>
      <c r="B496" s="3"/>
      <c r="C496" s="3"/>
      <c r="D496" s="3"/>
      <c r="E496" s="4"/>
      <c r="F496" s="3"/>
      <c r="G496" s="5"/>
      <c r="H496" s="5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>
      <c r="A497" s="3"/>
      <c r="B497" s="3"/>
      <c r="C497" s="3"/>
      <c r="D497" s="3"/>
      <c r="E497" s="4"/>
      <c r="F497" s="3"/>
      <c r="G497" s="5"/>
      <c r="H497" s="5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>
      <c r="A498" s="3"/>
      <c r="B498" s="3"/>
      <c r="C498" s="3"/>
      <c r="D498" s="3"/>
      <c r="E498" s="4"/>
      <c r="F498" s="3"/>
      <c r="G498" s="5"/>
      <c r="H498" s="5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>
      <c r="A499" s="3"/>
      <c r="B499" s="3"/>
      <c r="C499" s="3"/>
      <c r="D499" s="3"/>
      <c r="E499" s="4"/>
      <c r="F499" s="3"/>
      <c r="G499" s="5"/>
      <c r="H499" s="5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>
      <c r="A500" s="3"/>
      <c r="B500" s="3"/>
      <c r="C500" s="3"/>
      <c r="D500" s="3"/>
      <c r="E500" s="4"/>
      <c r="F500" s="3"/>
      <c r="G500" s="5"/>
      <c r="H500" s="5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>
      <c r="A501" s="3"/>
      <c r="B501" s="3"/>
      <c r="C501" s="3"/>
      <c r="D501" s="3"/>
      <c r="E501" s="4"/>
      <c r="F501" s="3"/>
      <c r="G501" s="5"/>
      <c r="H501" s="5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>
      <c r="A502" s="3"/>
      <c r="B502" s="3"/>
      <c r="C502" s="3"/>
      <c r="D502" s="3"/>
      <c r="E502" s="4"/>
      <c r="F502" s="3"/>
      <c r="G502" s="5"/>
      <c r="H502" s="5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>
      <c r="A503" s="3"/>
      <c r="B503" s="3"/>
      <c r="C503" s="3"/>
      <c r="D503" s="3"/>
      <c r="E503" s="4"/>
      <c r="F503" s="3"/>
      <c r="G503" s="5"/>
      <c r="H503" s="5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>
      <c r="A504" s="3"/>
      <c r="B504" s="3"/>
      <c r="C504" s="3"/>
      <c r="D504" s="3"/>
      <c r="E504" s="4"/>
      <c r="F504" s="3"/>
      <c r="G504" s="5"/>
      <c r="H504" s="5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>
      <c r="A505" s="3"/>
      <c r="B505" s="3"/>
      <c r="C505" s="3"/>
      <c r="D505" s="3"/>
      <c r="E505" s="4"/>
      <c r="F505" s="3"/>
      <c r="G505" s="5"/>
      <c r="H505" s="5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>
      <c r="A506" s="3"/>
      <c r="B506" s="3"/>
      <c r="C506" s="3"/>
      <c r="D506" s="3"/>
      <c r="E506" s="4"/>
      <c r="F506" s="3"/>
      <c r="G506" s="5"/>
      <c r="H506" s="5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>
      <c r="A507" s="3"/>
      <c r="B507" s="3"/>
      <c r="C507" s="3"/>
      <c r="D507" s="3"/>
      <c r="E507" s="4"/>
      <c r="F507" s="3"/>
      <c r="G507" s="5"/>
      <c r="H507" s="5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>
      <c r="A508" s="3"/>
      <c r="B508" s="3"/>
      <c r="C508" s="3"/>
      <c r="D508" s="3"/>
      <c r="E508" s="4"/>
      <c r="F508" s="3"/>
      <c r="G508" s="5"/>
      <c r="H508" s="5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>
      <c r="A509" s="3"/>
      <c r="B509" s="3"/>
      <c r="C509" s="3"/>
      <c r="D509" s="3"/>
      <c r="E509" s="4"/>
      <c r="F509" s="3"/>
      <c r="G509" s="5"/>
      <c r="H509" s="5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>
      <c r="A510" s="3"/>
      <c r="B510" s="3"/>
      <c r="C510" s="3"/>
      <c r="D510" s="3"/>
      <c r="E510" s="4"/>
      <c r="F510" s="3"/>
      <c r="G510" s="5"/>
      <c r="H510" s="5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>
      <c r="A511" s="3"/>
      <c r="B511" s="3"/>
      <c r="C511" s="3"/>
      <c r="D511" s="3"/>
      <c r="E511" s="4"/>
      <c r="F511" s="3"/>
      <c r="G511" s="5"/>
      <c r="H511" s="5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>
      <c r="A512" s="3"/>
      <c r="B512" s="3"/>
      <c r="C512" s="3"/>
      <c r="D512" s="3"/>
      <c r="E512" s="4"/>
      <c r="F512" s="3"/>
      <c r="G512" s="5"/>
      <c r="H512" s="5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>
      <c r="A513" s="3"/>
      <c r="B513" s="3"/>
      <c r="C513" s="3"/>
      <c r="D513" s="3"/>
      <c r="E513" s="4"/>
      <c r="F513" s="3"/>
      <c r="G513" s="5"/>
      <c r="H513" s="5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>
      <c r="A514" s="3"/>
      <c r="B514" s="3"/>
      <c r="C514" s="3"/>
      <c r="D514" s="3"/>
      <c r="E514" s="4"/>
      <c r="F514" s="3"/>
      <c r="G514" s="5"/>
      <c r="H514" s="5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>
      <c r="A515" s="3"/>
      <c r="B515" s="3"/>
      <c r="C515" s="3"/>
      <c r="D515" s="3"/>
      <c r="E515" s="4"/>
      <c r="F515" s="3"/>
      <c r="G515" s="5"/>
      <c r="H515" s="5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>
      <c r="A516" s="3"/>
      <c r="B516" s="3"/>
      <c r="C516" s="3"/>
      <c r="D516" s="3"/>
      <c r="E516" s="4"/>
      <c r="F516" s="3"/>
      <c r="G516" s="5"/>
      <c r="H516" s="5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>
      <c r="A517" s="3"/>
      <c r="B517" s="3"/>
      <c r="C517" s="3"/>
      <c r="D517" s="3"/>
      <c r="E517" s="4"/>
      <c r="F517" s="3"/>
      <c r="G517" s="5"/>
      <c r="H517" s="5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>
      <c r="A518" s="3"/>
      <c r="B518" s="3"/>
      <c r="C518" s="3"/>
      <c r="D518" s="3"/>
      <c r="E518" s="4"/>
      <c r="F518" s="3"/>
      <c r="G518" s="5"/>
      <c r="H518" s="5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>
      <c r="A519" s="3"/>
      <c r="B519" s="3"/>
      <c r="C519" s="3"/>
      <c r="D519" s="3"/>
      <c r="E519" s="4"/>
      <c r="F519" s="3"/>
      <c r="G519" s="5"/>
      <c r="H519" s="5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>
      <c r="A520" s="3"/>
      <c r="B520" s="3"/>
      <c r="C520" s="3"/>
      <c r="D520" s="3"/>
      <c r="E520" s="4"/>
      <c r="F520" s="3"/>
      <c r="G520" s="5"/>
      <c r="H520" s="5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>
      <c r="A521" s="3"/>
      <c r="B521" s="3"/>
      <c r="C521" s="3"/>
      <c r="D521" s="3"/>
      <c r="E521" s="4"/>
      <c r="F521" s="3"/>
      <c r="G521" s="5"/>
      <c r="H521" s="5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>
      <c r="A522" s="3"/>
      <c r="B522" s="3"/>
      <c r="C522" s="3"/>
      <c r="D522" s="3"/>
      <c r="E522" s="4"/>
      <c r="F522" s="3"/>
      <c r="G522" s="5"/>
      <c r="H522" s="5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>
      <c r="A523" s="3"/>
      <c r="B523" s="3"/>
      <c r="C523" s="3"/>
      <c r="D523" s="3"/>
      <c r="E523" s="4"/>
      <c r="F523" s="3"/>
      <c r="G523" s="5"/>
      <c r="H523" s="5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>
      <c r="A524" s="3"/>
      <c r="B524" s="3"/>
      <c r="C524" s="3"/>
      <c r="D524" s="3"/>
      <c r="E524" s="4"/>
      <c r="F524" s="3"/>
      <c r="G524" s="5"/>
      <c r="H524" s="5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>
      <c r="A525" s="3"/>
      <c r="B525" s="3"/>
      <c r="C525" s="3"/>
      <c r="D525" s="3"/>
      <c r="E525" s="4"/>
      <c r="F525" s="3"/>
      <c r="G525" s="5"/>
      <c r="H525" s="5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>
      <c r="A526" s="3"/>
      <c r="B526" s="3"/>
      <c r="C526" s="3"/>
      <c r="D526" s="3"/>
      <c r="E526" s="4"/>
      <c r="F526" s="3"/>
      <c r="G526" s="5"/>
      <c r="H526" s="5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>
      <c r="A527" s="3"/>
      <c r="B527" s="3"/>
      <c r="C527" s="3"/>
      <c r="D527" s="3"/>
      <c r="E527" s="4"/>
      <c r="F527" s="3"/>
      <c r="G527" s="5"/>
      <c r="H527" s="5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>
      <c r="A528" s="3"/>
      <c r="B528" s="3"/>
      <c r="C528" s="3"/>
      <c r="D528" s="3"/>
      <c r="E528" s="4"/>
      <c r="F528" s="3"/>
      <c r="G528" s="5"/>
      <c r="H528" s="5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>
      <c r="A529" s="3"/>
      <c r="B529" s="3"/>
      <c r="C529" s="3"/>
      <c r="D529" s="3"/>
      <c r="E529" s="4"/>
      <c r="F529" s="3"/>
      <c r="G529" s="5"/>
      <c r="H529" s="5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>
      <c r="A530" s="3"/>
      <c r="B530" s="3"/>
      <c r="C530" s="3"/>
      <c r="D530" s="3"/>
      <c r="E530" s="4"/>
      <c r="F530" s="3"/>
      <c r="G530" s="5"/>
      <c r="H530" s="5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>
      <c r="A531" s="3"/>
      <c r="B531" s="3"/>
      <c r="C531" s="3"/>
      <c r="D531" s="3"/>
      <c r="E531" s="4"/>
      <c r="F531" s="3"/>
      <c r="G531" s="5"/>
      <c r="H531" s="5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>
      <c r="A532" s="3"/>
      <c r="B532" s="3"/>
      <c r="C532" s="3"/>
      <c r="D532" s="3"/>
      <c r="E532" s="4"/>
      <c r="F532" s="3"/>
      <c r="G532" s="5"/>
      <c r="H532" s="5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>
      <c r="A533" s="3"/>
      <c r="B533" s="3"/>
      <c r="C533" s="3"/>
      <c r="D533" s="3"/>
      <c r="E533" s="4"/>
      <c r="F533" s="3"/>
      <c r="G533" s="5"/>
      <c r="H533" s="5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>
      <c r="A534" s="3"/>
      <c r="B534" s="3"/>
      <c r="C534" s="3"/>
      <c r="D534" s="3"/>
      <c r="E534" s="4"/>
      <c r="F534" s="3"/>
      <c r="G534" s="5"/>
      <c r="H534" s="5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>
      <c r="A535" s="3"/>
      <c r="B535" s="3"/>
      <c r="C535" s="3"/>
      <c r="D535" s="3"/>
      <c r="E535" s="4"/>
      <c r="F535" s="3"/>
      <c r="G535" s="5"/>
      <c r="H535" s="5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>
      <c r="A536" s="3"/>
      <c r="B536" s="3"/>
      <c r="C536" s="3"/>
      <c r="D536" s="3"/>
      <c r="E536" s="4"/>
      <c r="F536" s="3"/>
      <c r="G536" s="5"/>
      <c r="H536" s="5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>
      <c r="A537" s="3"/>
      <c r="B537" s="3"/>
      <c r="C537" s="3"/>
      <c r="D537" s="3"/>
      <c r="E537" s="4"/>
      <c r="F537" s="3"/>
      <c r="G537" s="5"/>
      <c r="H537" s="5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>
      <c r="A538" s="3"/>
      <c r="B538" s="3"/>
      <c r="C538" s="3"/>
      <c r="D538" s="3"/>
      <c r="E538" s="4"/>
      <c r="F538" s="3"/>
      <c r="G538" s="5"/>
      <c r="H538" s="5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>
      <c r="A539" s="3"/>
      <c r="B539" s="3"/>
      <c r="C539" s="3"/>
      <c r="D539" s="3"/>
      <c r="E539" s="4"/>
      <c r="F539" s="3"/>
      <c r="G539" s="5"/>
      <c r="H539" s="5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>
      <c r="A540" s="3"/>
      <c r="B540" s="3"/>
      <c r="C540" s="3"/>
      <c r="D540" s="3"/>
      <c r="E540" s="4"/>
      <c r="F540" s="3"/>
      <c r="G540" s="5"/>
      <c r="H540" s="5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>
      <c r="A541" s="3"/>
      <c r="B541" s="3"/>
      <c r="C541" s="3"/>
      <c r="D541" s="3"/>
      <c r="E541" s="4"/>
      <c r="F541" s="3"/>
      <c r="G541" s="5"/>
      <c r="H541" s="5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>
      <c r="A542" s="3"/>
      <c r="B542" s="3"/>
      <c r="C542" s="3"/>
      <c r="D542" s="3"/>
      <c r="E542" s="4"/>
      <c r="F542" s="3"/>
      <c r="G542" s="5"/>
      <c r="H542" s="5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>
      <c r="A543" s="3"/>
      <c r="B543" s="3"/>
      <c r="C543" s="3"/>
      <c r="D543" s="3"/>
      <c r="E543" s="4"/>
      <c r="F543" s="3"/>
      <c r="G543" s="5"/>
      <c r="H543" s="5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>
      <c r="A544" s="3"/>
      <c r="B544" s="3"/>
      <c r="C544" s="3"/>
      <c r="D544" s="3"/>
      <c r="E544" s="4"/>
      <c r="F544" s="3"/>
      <c r="G544" s="5"/>
      <c r="H544" s="5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>
      <c r="A545" s="3"/>
      <c r="B545" s="3"/>
      <c r="C545" s="3"/>
      <c r="D545" s="3"/>
      <c r="E545" s="4"/>
      <c r="F545" s="3"/>
      <c r="G545" s="5"/>
      <c r="H545" s="5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>
      <c r="A546" s="3"/>
      <c r="B546" s="3"/>
      <c r="C546" s="3"/>
      <c r="D546" s="3"/>
      <c r="E546" s="4"/>
      <c r="F546" s="3"/>
      <c r="G546" s="5"/>
      <c r="H546" s="5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>
      <c r="A547" s="3"/>
      <c r="B547" s="3"/>
      <c r="C547" s="3"/>
      <c r="D547" s="3"/>
      <c r="E547" s="4"/>
      <c r="F547" s="3"/>
      <c r="G547" s="5"/>
      <c r="H547" s="5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>
      <c r="A548" s="3"/>
      <c r="B548" s="3"/>
      <c r="C548" s="3"/>
      <c r="D548" s="3"/>
      <c r="E548" s="4"/>
      <c r="F548" s="3"/>
      <c r="G548" s="5"/>
      <c r="H548" s="5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>
      <c r="A549" s="3"/>
      <c r="B549" s="3"/>
      <c r="C549" s="3"/>
      <c r="D549" s="3"/>
      <c r="E549" s="4"/>
      <c r="F549" s="3"/>
      <c r="G549" s="5"/>
      <c r="H549" s="5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>
      <c r="A550" s="3"/>
      <c r="B550" s="3"/>
      <c r="C550" s="3"/>
      <c r="D550" s="3"/>
      <c r="E550" s="4"/>
      <c r="F550" s="3"/>
      <c r="G550" s="5"/>
      <c r="H550" s="5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>
      <c r="A551" s="3"/>
      <c r="B551" s="3"/>
      <c r="C551" s="3"/>
      <c r="D551" s="3"/>
      <c r="E551" s="4"/>
      <c r="F551" s="3"/>
      <c r="G551" s="5"/>
      <c r="H551" s="5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>
      <c r="A552" s="3"/>
      <c r="B552" s="3"/>
      <c r="C552" s="3"/>
      <c r="D552" s="3"/>
      <c r="E552" s="4"/>
      <c r="F552" s="3"/>
      <c r="G552" s="5"/>
      <c r="H552" s="5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>
      <c r="A553" s="3"/>
      <c r="B553" s="3"/>
      <c r="C553" s="3"/>
      <c r="D553" s="3"/>
      <c r="E553" s="4"/>
      <c r="F553" s="3"/>
      <c r="G553" s="5"/>
      <c r="H553" s="5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>
      <c r="A554" s="3"/>
      <c r="B554" s="3"/>
      <c r="C554" s="3"/>
      <c r="D554" s="3"/>
      <c r="E554" s="4"/>
      <c r="F554" s="3"/>
      <c r="G554" s="5"/>
      <c r="H554" s="5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>
      <c r="A555" s="3"/>
      <c r="B555" s="3"/>
      <c r="C555" s="3"/>
      <c r="D555" s="3"/>
      <c r="E555" s="4"/>
      <c r="F555" s="3"/>
      <c r="G555" s="5"/>
      <c r="H555" s="5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>
      <c r="A556" s="3"/>
      <c r="B556" s="3"/>
      <c r="C556" s="3"/>
      <c r="D556" s="3"/>
      <c r="E556" s="4"/>
      <c r="F556" s="3"/>
      <c r="G556" s="5"/>
      <c r="H556" s="5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>
      <c r="A557" s="3"/>
      <c r="B557" s="3"/>
      <c r="C557" s="3"/>
      <c r="D557" s="3"/>
      <c r="E557" s="4"/>
      <c r="F557" s="3"/>
      <c r="G557" s="5"/>
      <c r="H557" s="5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>
      <c r="A558" s="3"/>
      <c r="B558" s="3"/>
      <c r="C558" s="3"/>
      <c r="D558" s="3"/>
      <c r="E558" s="4"/>
      <c r="F558" s="3"/>
      <c r="G558" s="5"/>
      <c r="H558" s="5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>
      <c r="A559" s="3"/>
      <c r="B559" s="3"/>
      <c r="C559" s="3"/>
      <c r="D559" s="3"/>
      <c r="E559" s="4"/>
      <c r="F559" s="3"/>
      <c r="G559" s="5"/>
      <c r="H559" s="5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>
      <c r="A560" s="3"/>
      <c r="B560" s="3"/>
      <c r="C560" s="3"/>
      <c r="D560" s="3"/>
      <c r="E560" s="4"/>
      <c r="F560" s="3"/>
      <c r="G560" s="5"/>
      <c r="H560" s="5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>
      <c r="A561" s="3"/>
      <c r="B561" s="3"/>
      <c r="C561" s="3"/>
      <c r="D561" s="3"/>
      <c r="E561" s="4"/>
      <c r="F561" s="3"/>
      <c r="G561" s="5"/>
      <c r="H561" s="5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>
      <c r="A562" s="3"/>
      <c r="B562" s="3"/>
      <c r="C562" s="3"/>
      <c r="D562" s="3"/>
      <c r="E562" s="4"/>
      <c r="F562" s="3"/>
      <c r="G562" s="5"/>
      <c r="H562" s="5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>
      <c r="A563" s="3"/>
      <c r="B563" s="3"/>
      <c r="C563" s="3"/>
      <c r="D563" s="3"/>
      <c r="E563" s="4"/>
      <c r="F563" s="3"/>
      <c r="G563" s="5"/>
      <c r="H563" s="5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>
      <c r="A564" s="3"/>
      <c r="B564" s="3"/>
      <c r="C564" s="3"/>
      <c r="D564" s="3"/>
      <c r="E564" s="4"/>
      <c r="F564" s="3"/>
      <c r="G564" s="5"/>
      <c r="H564" s="5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>
      <c r="A565" s="3"/>
      <c r="B565" s="3"/>
      <c r="C565" s="3"/>
      <c r="D565" s="3"/>
      <c r="E565" s="4"/>
      <c r="F565" s="3"/>
      <c r="G565" s="5"/>
      <c r="H565" s="5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>
      <c r="A566" s="3"/>
      <c r="B566" s="3"/>
      <c r="C566" s="3"/>
      <c r="D566" s="3"/>
      <c r="E566" s="4"/>
      <c r="F566" s="3"/>
      <c r="G566" s="5"/>
      <c r="H566" s="5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>
      <c r="A567" s="3"/>
      <c r="B567" s="3"/>
      <c r="C567" s="3"/>
      <c r="D567" s="3"/>
      <c r="E567" s="4"/>
      <c r="F567" s="3"/>
      <c r="G567" s="5"/>
      <c r="H567" s="5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>
      <c r="A568" s="3"/>
      <c r="B568" s="3"/>
      <c r="C568" s="3"/>
      <c r="D568" s="3"/>
      <c r="E568" s="4"/>
      <c r="F568" s="3"/>
      <c r="G568" s="5"/>
      <c r="H568" s="5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>
      <c r="A569" s="3"/>
      <c r="B569" s="3"/>
      <c r="C569" s="3"/>
      <c r="D569" s="3"/>
      <c r="E569" s="4"/>
      <c r="F569" s="3"/>
      <c r="G569" s="5"/>
      <c r="H569" s="5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>
      <c r="A570" s="3"/>
      <c r="B570" s="3"/>
      <c r="C570" s="3"/>
      <c r="D570" s="3"/>
      <c r="E570" s="4"/>
      <c r="F570" s="3"/>
      <c r="G570" s="5"/>
      <c r="H570" s="5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>
      <c r="A571" s="3"/>
      <c r="B571" s="3"/>
      <c r="C571" s="3"/>
      <c r="D571" s="3"/>
      <c r="E571" s="4"/>
      <c r="F571" s="3"/>
      <c r="G571" s="5"/>
      <c r="H571" s="5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>
      <c r="A572" s="3"/>
      <c r="B572" s="3"/>
      <c r="C572" s="3"/>
      <c r="D572" s="3"/>
      <c r="E572" s="4"/>
      <c r="F572" s="3"/>
      <c r="G572" s="5"/>
      <c r="H572" s="5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>
      <c r="A573" s="3"/>
      <c r="B573" s="3"/>
      <c r="C573" s="3"/>
      <c r="D573" s="3"/>
      <c r="E573" s="4"/>
      <c r="F573" s="3"/>
      <c r="G573" s="5"/>
      <c r="H573" s="5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>
      <c r="A574" s="3"/>
      <c r="B574" s="3"/>
      <c r="C574" s="3"/>
      <c r="D574" s="3"/>
      <c r="E574" s="4"/>
      <c r="F574" s="3"/>
      <c r="G574" s="5"/>
      <c r="H574" s="5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>
      <c r="A575" s="3"/>
      <c r="B575" s="3"/>
      <c r="C575" s="3"/>
      <c r="D575" s="3"/>
      <c r="E575" s="4"/>
      <c r="F575" s="3"/>
      <c r="G575" s="5"/>
      <c r="H575" s="5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>
      <c r="A576" s="3"/>
      <c r="B576" s="3"/>
      <c r="C576" s="3"/>
      <c r="D576" s="3"/>
      <c r="E576" s="4"/>
      <c r="F576" s="3"/>
      <c r="G576" s="5"/>
      <c r="H576" s="5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>
      <c r="A577" s="3"/>
      <c r="B577" s="3"/>
      <c r="C577" s="3"/>
      <c r="D577" s="3"/>
      <c r="E577" s="4"/>
      <c r="F577" s="3"/>
      <c r="G577" s="5"/>
      <c r="H577" s="5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>
      <c r="A578" s="3"/>
      <c r="B578" s="3"/>
      <c r="C578" s="3"/>
      <c r="D578" s="3"/>
      <c r="E578" s="4"/>
      <c r="F578" s="3"/>
      <c r="G578" s="5"/>
      <c r="H578" s="5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>
      <c r="A579" s="3"/>
      <c r="B579" s="3"/>
      <c r="C579" s="3"/>
      <c r="D579" s="3"/>
      <c r="E579" s="4"/>
      <c r="F579" s="3"/>
      <c r="G579" s="5"/>
      <c r="H579" s="5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>
      <c r="A580" s="3"/>
      <c r="B580" s="3"/>
      <c r="C580" s="3"/>
      <c r="D580" s="3"/>
      <c r="E580" s="4"/>
      <c r="F580" s="3"/>
      <c r="G580" s="5"/>
      <c r="H580" s="5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>
      <c r="A581" s="3"/>
      <c r="B581" s="3"/>
      <c r="C581" s="3"/>
      <c r="D581" s="3"/>
      <c r="E581" s="4"/>
      <c r="F581" s="3"/>
      <c r="G581" s="5"/>
      <c r="H581" s="5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>
      <c r="A582" s="3"/>
      <c r="B582" s="3"/>
      <c r="C582" s="3"/>
      <c r="D582" s="3"/>
      <c r="E582" s="4"/>
      <c r="F582" s="3"/>
      <c r="G582" s="5"/>
      <c r="H582" s="5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>
      <c r="A583" s="3"/>
      <c r="B583" s="3"/>
      <c r="C583" s="3"/>
      <c r="D583" s="3"/>
      <c r="E583" s="4"/>
      <c r="F583" s="3"/>
      <c r="G583" s="5"/>
      <c r="H583" s="5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>
      <c r="A584" s="3"/>
      <c r="B584" s="3"/>
      <c r="C584" s="3"/>
      <c r="D584" s="3"/>
      <c r="E584" s="4"/>
      <c r="F584" s="3"/>
      <c r="G584" s="5"/>
      <c r="H584" s="5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>
      <c r="A585" s="3"/>
      <c r="B585" s="3"/>
      <c r="C585" s="3"/>
      <c r="D585" s="3"/>
      <c r="E585" s="4"/>
      <c r="F585" s="3"/>
      <c r="G585" s="5"/>
      <c r="H585" s="5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>
      <c r="A586" s="3"/>
      <c r="B586" s="3"/>
      <c r="C586" s="3"/>
      <c r="D586" s="3"/>
      <c r="E586" s="4"/>
      <c r="F586" s="3"/>
      <c r="G586" s="5"/>
      <c r="H586" s="5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>
      <c r="A587" s="3"/>
      <c r="B587" s="3"/>
      <c r="C587" s="3"/>
      <c r="D587" s="3"/>
      <c r="E587" s="4"/>
      <c r="F587" s="3"/>
      <c r="G587" s="5"/>
      <c r="H587" s="5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>
      <c r="A588" s="3"/>
      <c r="B588" s="3"/>
      <c r="C588" s="3"/>
      <c r="D588" s="3"/>
      <c r="E588" s="4"/>
      <c r="F588" s="3"/>
      <c r="G588" s="5"/>
      <c r="H588" s="5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>
      <c r="A589" s="3"/>
      <c r="B589" s="3"/>
      <c r="C589" s="3"/>
      <c r="D589" s="3"/>
      <c r="E589" s="4"/>
      <c r="F589" s="3"/>
      <c r="G589" s="5"/>
      <c r="H589" s="5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>
      <c r="A590" s="3"/>
      <c r="B590" s="3"/>
      <c r="C590" s="3"/>
      <c r="D590" s="3"/>
      <c r="E590" s="4"/>
      <c r="F590" s="3"/>
      <c r="G590" s="5"/>
      <c r="H590" s="5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>
      <c r="A591" s="3"/>
      <c r="B591" s="3"/>
      <c r="C591" s="3"/>
      <c r="D591" s="3"/>
      <c r="E591" s="4"/>
      <c r="F591" s="3"/>
      <c r="G591" s="5"/>
      <c r="H591" s="5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>
      <c r="A592" s="3"/>
      <c r="B592" s="3"/>
      <c r="C592" s="3"/>
      <c r="D592" s="3"/>
      <c r="E592" s="4"/>
      <c r="F592" s="3"/>
      <c r="G592" s="5"/>
      <c r="H592" s="5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>
      <c r="A593" s="3"/>
      <c r="B593" s="3"/>
      <c r="C593" s="3"/>
      <c r="D593" s="3"/>
      <c r="E593" s="4"/>
      <c r="F593" s="3"/>
      <c r="G593" s="5"/>
      <c r="H593" s="5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>
      <c r="A594" s="3"/>
      <c r="B594" s="3"/>
      <c r="C594" s="3"/>
      <c r="D594" s="3"/>
      <c r="E594" s="4"/>
      <c r="F594" s="3"/>
      <c r="G594" s="5"/>
      <c r="H594" s="5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>
      <c r="A595" s="3"/>
      <c r="B595" s="3"/>
      <c r="C595" s="3"/>
      <c r="D595" s="3"/>
      <c r="E595" s="4"/>
      <c r="F595" s="3"/>
      <c r="G595" s="5"/>
      <c r="H595" s="5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>
      <c r="A596" s="3"/>
      <c r="B596" s="3"/>
      <c r="C596" s="3"/>
      <c r="D596" s="3"/>
      <c r="E596" s="4"/>
      <c r="F596" s="3"/>
      <c r="G596" s="5"/>
      <c r="H596" s="5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>
      <c r="A597" s="3"/>
      <c r="B597" s="3"/>
      <c r="C597" s="3"/>
      <c r="D597" s="3"/>
      <c r="E597" s="4"/>
      <c r="F597" s="3"/>
      <c r="G597" s="5"/>
      <c r="H597" s="5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>
      <c r="A598" s="3"/>
      <c r="B598" s="3"/>
      <c r="C598" s="3"/>
      <c r="D598" s="3"/>
      <c r="E598" s="4"/>
      <c r="F598" s="3"/>
      <c r="G598" s="5"/>
      <c r="H598" s="5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>
      <c r="A599" s="3"/>
      <c r="B599" s="3"/>
      <c r="C599" s="3"/>
      <c r="D599" s="3"/>
      <c r="E599" s="4"/>
      <c r="F599" s="3"/>
      <c r="G599" s="5"/>
      <c r="H599" s="5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>
      <c r="A600" s="3"/>
      <c r="B600" s="3"/>
      <c r="C600" s="3"/>
      <c r="D600" s="3"/>
      <c r="E600" s="4"/>
      <c r="F600" s="3"/>
      <c r="G600" s="5"/>
      <c r="H600" s="5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>
      <c r="A601" s="3"/>
      <c r="B601" s="3"/>
      <c r="C601" s="3"/>
      <c r="D601" s="3"/>
      <c r="E601" s="4"/>
      <c r="F601" s="3"/>
      <c r="G601" s="5"/>
      <c r="H601" s="5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>
      <c r="A602" s="3"/>
      <c r="B602" s="3"/>
      <c r="C602" s="3"/>
      <c r="D602" s="3"/>
      <c r="E602" s="4"/>
      <c r="F602" s="3"/>
      <c r="G602" s="5"/>
      <c r="H602" s="5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>
      <c r="A603" s="3"/>
      <c r="B603" s="3"/>
      <c r="C603" s="3"/>
      <c r="D603" s="3"/>
      <c r="E603" s="4"/>
      <c r="F603" s="3"/>
      <c r="G603" s="5"/>
      <c r="H603" s="5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>
      <c r="A604" s="3"/>
      <c r="B604" s="3"/>
      <c r="C604" s="3"/>
      <c r="D604" s="3"/>
      <c r="E604" s="4"/>
      <c r="F604" s="3"/>
      <c r="G604" s="5"/>
      <c r="H604" s="5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>
      <c r="A605" s="3"/>
      <c r="B605" s="3"/>
      <c r="C605" s="3"/>
      <c r="D605" s="3"/>
      <c r="E605" s="4"/>
      <c r="F605" s="3"/>
      <c r="G605" s="5"/>
      <c r="H605" s="5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>
      <c r="A606" s="3"/>
      <c r="B606" s="3"/>
      <c r="C606" s="3"/>
      <c r="D606" s="3"/>
      <c r="E606" s="4"/>
      <c r="F606" s="3"/>
      <c r="G606" s="5"/>
      <c r="H606" s="5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>
      <c r="A607" s="3"/>
      <c r="B607" s="3"/>
      <c r="C607" s="3"/>
      <c r="D607" s="3"/>
      <c r="E607" s="4"/>
      <c r="F607" s="3"/>
      <c r="G607" s="5"/>
      <c r="H607" s="5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>
      <c r="A608" s="3"/>
      <c r="B608" s="3"/>
      <c r="C608" s="3"/>
      <c r="D608" s="3"/>
      <c r="E608" s="4"/>
      <c r="F608" s="3"/>
      <c r="G608" s="5"/>
      <c r="H608" s="5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>
      <c r="A609" s="3"/>
      <c r="B609" s="3"/>
      <c r="C609" s="3"/>
      <c r="D609" s="3"/>
      <c r="E609" s="4"/>
      <c r="F609" s="3"/>
      <c r="G609" s="5"/>
      <c r="H609" s="5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>
      <c r="A610" s="3"/>
      <c r="B610" s="3"/>
      <c r="C610" s="3"/>
      <c r="D610" s="3"/>
      <c r="E610" s="4"/>
      <c r="F610" s="3"/>
      <c r="G610" s="5"/>
      <c r="H610" s="5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>
      <c r="A611" s="3"/>
      <c r="B611" s="3"/>
      <c r="C611" s="3"/>
      <c r="D611" s="3"/>
      <c r="E611" s="4"/>
      <c r="F611" s="3"/>
      <c r="G611" s="5"/>
      <c r="H611" s="5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>
      <c r="A612" s="3"/>
      <c r="B612" s="3"/>
      <c r="C612" s="3"/>
      <c r="D612" s="3"/>
      <c r="E612" s="4"/>
      <c r="F612" s="3"/>
      <c r="G612" s="5"/>
      <c r="H612" s="5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>
      <c r="A613" s="3"/>
      <c r="B613" s="3"/>
      <c r="C613" s="3"/>
      <c r="D613" s="3"/>
      <c r="E613" s="4"/>
      <c r="F613" s="3"/>
      <c r="G613" s="5"/>
      <c r="H613" s="5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>
      <c r="A614" s="3"/>
      <c r="B614" s="3"/>
      <c r="C614" s="3"/>
      <c r="D614" s="3"/>
      <c r="E614" s="4"/>
      <c r="F614" s="3"/>
      <c r="G614" s="5"/>
      <c r="H614" s="5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>
      <c r="A615" s="3"/>
      <c r="B615" s="3"/>
      <c r="C615" s="3"/>
      <c r="D615" s="3"/>
      <c r="E615" s="4"/>
      <c r="F615" s="3"/>
      <c r="G615" s="5"/>
      <c r="H615" s="5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>
      <c r="A616" s="3"/>
      <c r="B616" s="3"/>
      <c r="C616" s="3"/>
      <c r="D616" s="3"/>
      <c r="E616" s="4"/>
      <c r="F616" s="3"/>
      <c r="G616" s="5"/>
      <c r="H616" s="5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>
      <c r="A617" s="3"/>
      <c r="B617" s="3"/>
      <c r="C617" s="3"/>
      <c r="D617" s="3"/>
      <c r="E617" s="4"/>
      <c r="F617" s="3"/>
      <c r="G617" s="5"/>
      <c r="H617" s="5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>
      <c r="A618" s="3"/>
      <c r="B618" s="3"/>
      <c r="C618" s="3"/>
      <c r="D618" s="3"/>
      <c r="E618" s="4"/>
      <c r="F618" s="3"/>
      <c r="G618" s="5"/>
      <c r="H618" s="5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>
      <c r="A619" s="3"/>
      <c r="B619" s="3"/>
      <c r="C619" s="3"/>
      <c r="D619" s="3"/>
      <c r="E619" s="4"/>
      <c r="F619" s="3"/>
      <c r="G619" s="5"/>
      <c r="H619" s="5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>
      <c r="A620" s="3"/>
      <c r="B620" s="3"/>
      <c r="C620" s="3"/>
      <c r="D620" s="3"/>
      <c r="E620" s="4"/>
      <c r="F620" s="3"/>
      <c r="G620" s="5"/>
      <c r="H620" s="5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>
      <c r="A621" s="3"/>
      <c r="B621" s="3"/>
      <c r="C621" s="3"/>
      <c r="D621" s="3"/>
      <c r="E621" s="4"/>
      <c r="F621" s="3"/>
      <c r="G621" s="5"/>
      <c r="H621" s="5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>
      <c r="A622" s="3"/>
      <c r="B622" s="3"/>
      <c r="C622" s="3"/>
      <c r="D622" s="3"/>
      <c r="E622" s="4"/>
      <c r="F622" s="3"/>
      <c r="G622" s="5"/>
      <c r="H622" s="5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>
      <c r="A623" s="3"/>
      <c r="B623" s="3"/>
      <c r="C623" s="3"/>
      <c r="D623" s="3"/>
      <c r="E623" s="4"/>
      <c r="F623" s="3"/>
      <c r="G623" s="5"/>
      <c r="H623" s="5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>
      <c r="A624" s="3"/>
      <c r="B624" s="3"/>
      <c r="C624" s="3"/>
      <c r="D624" s="3"/>
      <c r="E624" s="4"/>
      <c r="F624" s="3"/>
      <c r="G624" s="5"/>
      <c r="H624" s="5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>
      <c r="A625" s="3"/>
      <c r="B625" s="3"/>
      <c r="C625" s="3"/>
      <c r="D625" s="3"/>
      <c r="E625" s="4"/>
      <c r="F625" s="3"/>
      <c r="G625" s="5"/>
      <c r="H625" s="5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>
      <c r="A626" s="3"/>
      <c r="B626" s="3"/>
      <c r="C626" s="3"/>
      <c r="D626" s="3"/>
      <c r="E626" s="4"/>
      <c r="F626" s="3"/>
      <c r="G626" s="5"/>
      <c r="H626" s="5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>
      <c r="A627" s="3"/>
      <c r="B627" s="3"/>
      <c r="C627" s="3"/>
      <c r="D627" s="3"/>
      <c r="E627" s="4"/>
      <c r="F627" s="3"/>
      <c r="G627" s="5"/>
      <c r="H627" s="5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>
      <c r="A628" s="3"/>
      <c r="B628" s="3"/>
      <c r="C628" s="3"/>
      <c r="D628" s="3"/>
      <c r="E628" s="4"/>
      <c r="F628" s="3"/>
      <c r="G628" s="5"/>
      <c r="H628" s="5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>
      <c r="A629" s="3"/>
      <c r="B629" s="3"/>
      <c r="C629" s="3"/>
      <c r="D629" s="3"/>
      <c r="E629" s="4"/>
      <c r="F629" s="3"/>
      <c r="G629" s="5"/>
      <c r="H629" s="5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>
      <c r="A630" s="3"/>
      <c r="B630" s="3"/>
      <c r="C630" s="3"/>
      <c r="D630" s="3"/>
      <c r="E630" s="4"/>
      <c r="F630" s="3"/>
      <c r="G630" s="5"/>
      <c r="H630" s="5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>
      <c r="A631" s="3"/>
      <c r="B631" s="3"/>
      <c r="C631" s="3"/>
      <c r="D631" s="3"/>
      <c r="E631" s="4"/>
      <c r="F631" s="3"/>
      <c r="G631" s="5"/>
      <c r="H631" s="5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>
      <c r="A632" s="3"/>
      <c r="B632" s="3"/>
      <c r="C632" s="3"/>
      <c r="D632" s="3"/>
      <c r="E632" s="4"/>
      <c r="F632" s="3"/>
      <c r="G632" s="5"/>
      <c r="H632" s="5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>
      <c r="A633" s="3"/>
      <c r="B633" s="3"/>
      <c r="C633" s="3"/>
      <c r="D633" s="3"/>
      <c r="E633" s="4"/>
      <c r="F633" s="3"/>
      <c r="G633" s="5"/>
      <c r="H633" s="5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>
      <c r="A634" s="3"/>
      <c r="B634" s="3"/>
      <c r="C634" s="3"/>
      <c r="D634" s="3"/>
      <c r="E634" s="4"/>
      <c r="F634" s="3"/>
      <c r="G634" s="5"/>
      <c r="H634" s="5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>
      <c r="A635" s="3"/>
      <c r="B635" s="3"/>
      <c r="C635" s="3"/>
      <c r="D635" s="3"/>
      <c r="E635" s="4"/>
      <c r="F635" s="3"/>
      <c r="G635" s="5"/>
      <c r="H635" s="5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>
      <c r="A636" s="3"/>
      <c r="B636" s="3"/>
      <c r="C636" s="3"/>
      <c r="D636" s="3"/>
      <c r="E636" s="4"/>
      <c r="F636" s="3"/>
      <c r="G636" s="5"/>
      <c r="H636" s="5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>
      <c r="A637" s="3"/>
      <c r="B637" s="3"/>
      <c r="C637" s="3"/>
      <c r="D637" s="3"/>
      <c r="E637" s="4"/>
      <c r="F637" s="3"/>
      <c r="G637" s="5"/>
      <c r="H637" s="5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>
      <c r="A638" s="3"/>
      <c r="B638" s="3"/>
      <c r="C638" s="3"/>
      <c r="D638" s="3"/>
      <c r="E638" s="4"/>
      <c r="F638" s="3"/>
      <c r="G638" s="5"/>
      <c r="H638" s="5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>
      <c r="A639" s="3"/>
      <c r="B639" s="3"/>
      <c r="C639" s="3"/>
      <c r="D639" s="3"/>
      <c r="E639" s="4"/>
      <c r="F639" s="3"/>
      <c r="G639" s="5"/>
      <c r="H639" s="5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>
      <c r="A640" s="3"/>
      <c r="B640" s="3"/>
      <c r="C640" s="3"/>
      <c r="D640" s="3"/>
      <c r="E640" s="4"/>
      <c r="F640" s="3"/>
      <c r="G640" s="5"/>
      <c r="H640" s="5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>
      <c r="A641" s="3"/>
      <c r="B641" s="3"/>
      <c r="C641" s="3"/>
      <c r="D641" s="3"/>
      <c r="E641" s="4"/>
      <c r="F641" s="3"/>
      <c r="G641" s="5"/>
      <c r="H641" s="5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>
      <c r="A642" s="3"/>
      <c r="B642" s="3"/>
      <c r="C642" s="3"/>
      <c r="D642" s="3"/>
      <c r="E642" s="4"/>
      <c r="F642" s="3"/>
      <c r="G642" s="5"/>
      <c r="H642" s="5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>
      <c r="A643" s="3"/>
      <c r="B643" s="3"/>
      <c r="C643" s="3"/>
      <c r="D643" s="3"/>
      <c r="E643" s="4"/>
      <c r="F643" s="3"/>
      <c r="G643" s="5"/>
      <c r="H643" s="5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>
      <c r="A644" s="3"/>
      <c r="B644" s="3"/>
      <c r="C644" s="3"/>
      <c r="D644" s="3"/>
      <c r="E644" s="4"/>
      <c r="F644" s="3"/>
      <c r="G644" s="5"/>
      <c r="H644" s="5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>
      <c r="A645" s="3"/>
      <c r="B645" s="3"/>
      <c r="C645" s="3"/>
      <c r="D645" s="3"/>
      <c r="E645" s="4"/>
      <c r="F645" s="3"/>
      <c r="G645" s="5"/>
      <c r="H645" s="5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>
      <c r="A646" s="3"/>
      <c r="B646" s="3"/>
      <c r="C646" s="3"/>
      <c r="D646" s="3"/>
      <c r="E646" s="4"/>
      <c r="F646" s="3"/>
      <c r="G646" s="5"/>
      <c r="H646" s="5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>
      <c r="A647" s="3"/>
      <c r="B647" s="3"/>
      <c r="C647" s="3"/>
      <c r="D647" s="3"/>
      <c r="E647" s="4"/>
      <c r="F647" s="3"/>
      <c r="G647" s="5"/>
      <c r="H647" s="5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>
      <c r="A648" s="3"/>
      <c r="B648" s="3"/>
      <c r="C648" s="3"/>
      <c r="D648" s="3"/>
      <c r="E648" s="4"/>
      <c r="F648" s="3"/>
      <c r="G648" s="5"/>
      <c r="H648" s="5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>
      <c r="A649" s="3"/>
      <c r="B649" s="3"/>
      <c r="C649" s="3"/>
      <c r="D649" s="3"/>
      <c r="E649" s="4"/>
      <c r="F649" s="3"/>
      <c r="G649" s="5"/>
      <c r="H649" s="5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>
      <c r="A650" s="3"/>
      <c r="B650" s="3"/>
      <c r="C650" s="3"/>
      <c r="D650" s="3"/>
      <c r="E650" s="4"/>
      <c r="F650" s="3"/>
      <c r="G650" s="5"/>
      <c r="H650" s="5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>
      <c r="A651" s="3"/>
      <c r="B651" s="3"/>
      <c r="C651" s="3"/>
      <c r="D651" s="3"/>
      <c r="E651" s="4"/>
      <c r="F651" s="3"/>
      <c r="G651" s="5"/>
      <c r="H651" s="5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>
      <c r="A652" s="3"/>
      <c r="B652" s="3"/>
      <c r="C652" s="3"/>
      <c r="D652" s="3"/>
      <c r="E652" s="4"/>
      <c r="F652" s="3"/>
      <c r="G652" s="5"/>
      <c r="H652" s="5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>
      <c r="A653" s="3"/>
      <c r="B653" s="3"/>
      <c r="C653" s="3"/>
      <c r="D653" s="3"/>
      <c r="E653" s="4"/>
      <c r="F653" s="3"/>
      <c r="G653" s="5"/>
      <c r="H653" s="5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>
      <c r="A654" s="3"/>
      <c r="B654" s="3"/>
      <c r="C654" s="3"/>
      <c r="D654" s="3"/>
      <c r="E654" s="4"/>
      <c r="F654" s="3"/>
      <c r="G654" s="5"/>
      <c r="H654" s="5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>
      <c r="A655" s="3"/>
      <c r="B655" s="3"/>
      <c r="C655" s="3"/>
      <c r="D655" s="3"/>
      <c r="E655" s="4"/>
      <c r="F655" s="3"/>
      <c r="G655" s="5"/>
      <c r="H655" s="5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>
      <c r="A656" s="3"/>
      <c r="B656" s="3"/>
      <c r="C656" s="3"/>
      <c r="D656" s="3"/>
      <c r="E656" s="4"/>
      <c r="F656" s="3"/>
      <c r="G656" s="5"/>
      <c r="H656" s="5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>
      <c r="A657" s="3"/>
      <c r="B657" s="3"/>
      <c r="C657" s="3"/>
      <c r="D657" s="3"/>
      <c r="E657" s="4"/>
      <c r="F657" s="3"/>
      <c r="G657" s="5"/>
      <c r="H657" s="5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>
      <c r="A658" s="3"/>
      <c r="B658" s="3"/>
      <c r="C658" s="3"/>
      <c r="D658" s="3"/>
      <c r="E658" s="4"/>
      <c r="F658" s="3"/>
      <c r="G658" s="5"/>
      <c r="H658" s="5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>
      <c r="A659" s="3"/>
      <c r="B659" s="3"/>
      <c r="C659" s="3"/>
      <c r="D659" s="3"/>
      <c r="E659" s="4"/>
      <c r="F659" s="3"/>
      <c r="G659" s="5"/>
      <c r="H659" s="5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>
      <c r="A660" s="3"/>
      <c r="B660" s="3"/>
      <c r="C660" s="3"/>
      <c r="D660" s="3"/>
      <c r="E660" s="4"/>
      <c r="F660" s="3"/>
      <c r="G660" s="5"/>
      <c r="H660" s="5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>
      <c r="A661" s="3"/>
      <c r="B661" s="3"/>
      <c r="C661" s="3"/>
      <c r="D661" s="3"/>
      <c r="E661" s="4"/>
      <c r="F661" s="3"/>
      <c r="G661" s="5"/>
      <c r="H661" s="5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>
      <c r="A662" s="3"/>
      <c r="B662" s="3"/>
      <c r="C662" s="3"/>
      <c r="D662" s="3"/>
      <c r="E662" s="4"/>
      <c r="F662" s="3"/>
      <c r="G662" s="5"/>
      <c r="H662" s="5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>
      <c r="A663" s="3"/>
      <c r="B663" s="3"/>
      <c r="C663" s="3"/>
      <c r="D663" s="3"/>
      <c r="E663" s="4"/>
      <c r="F663" s="3"/>
      <c r="G663" s="5"/>
      <c r="H663" s="5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>
      <c r="A664" s="3"/>
      <c r="B664" s="3"/>
      <c r="C664" s="3"/>
      <c r="D664" s="3"/>
      <c r="E664" s="4"/>
      <c r="F664" s="3"/>
      <c r="G664" s="5"/>
      <c r="H664" s="5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>
      <c r="A665" s="3"/>
      <c r="B665" s="3"/>
      <c r="C665" s="3"/>
      <c r="D665" s="3"/>
      <c r="E665" s="4"/>
      <c r="F665" s="3"/>
      <c r="G665" s="5"/>
      <c r="H665" s="5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>
      <c r="A666" s="3"/>
      <c r="B666" s="3"/>
      <c r="C666" s="3"/>
      <c r="D666" s="3"/>
      <c r="E666" s="4"/>
      <c r="F666" s="3"/>
      <c r="G666" s="5"/>
      <c r="H666" s="5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>
      <c r="A667" s="3"/>
      <c r="B667" s="3"/>
      <c r="C667" s="3"/>
      <c r="D667" s="3"/>
      <c r="E667" s="4"/>
      <c r="F667" s="3"/>
      <c r="G667" s="5"/>
      <c r="H667" s="5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>
      <c r="A668" s="3"/>
      <c r="B668" s="3"/>
      <c r="C668" s="3"/>
      <c r="D668" s="3"/>
      <c r="E668" s="4"/>
      <c r="F668" s="3"/>
      <c r="G668" s="5"/>
      <c r="H668" s="5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>
      <c r="A669" s="3"/>
      <c r="B669" s="3"/>
      <c r="C669" s="3"/>
      <c r="D669" s="3"/>
      <c r="E669" s="4"/>
      <c r="F669" s="3"/>
      <c r="G669" s="5"/>
      <c r="H669" s="5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>
      <c r="A670" s="3"/>
      <c r="B670" s="3"/>
      <c r="C670" s="3"/>
      <c r="D670" s="3"/>
      <c r="E670" s="4"/>
      <c r="F670" s="3"/>
      <c r="G670" s="5"/>
      <c r="H670" s="5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>
      <c r="A671" s="3"/>
      <c r="B671" s="3"/>
      <c r="C671" s="3"/>
      <c r="D671" s="3"/>
      <c r="E671" s="4"/>
      <c r="F671" s="3"/>
      <c r="G671" s="5"/>
      <c r="H671" s="5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>
      <c r="A672" s="3"/>
      <c r="B672" s="3"/>
      <c r="C672" s="3"/>
      <c r="D672" s="3"/>
      <c r="E672" s="4"/>
      <c r="F672" s="3"/>
      <c r="G672" s="5"/>
      <c r="H672" s="5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>
      <c r="A673" s="3"/>
      <c r="B673" s="3"/>
      <c r="C673" s="3"/>
      <c r="D673" s="3"/>
      <c r="E673" s="4"/>
      <c r="F673" s="3"/>
      <c r="G673" s="5"/>
      <c r="H673" s="5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>
      <c r="A674" s="3"/>
      <c r="B674" s="3"/>
      <c r="C674" s="3"/>
      <c r="D674" s="3"/>
      <c r="E674" s="4"/>
      <c r="F674" s="3"/>
      <c r="G674" s="5"/>
      <c r="H674" s="5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>
      <c r="A675" s="3"/>
      <c r="B675" s="3"/>
      <c r="C675" s="3"/>
      <c r="D675" s="3"/>
      <c r="E675" s="4"/>
      <c r="F675" s="3"/>
      <c r="G675" s="5"/>
      <c r="H675" s="5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>
      <c r="A676" s="3"/>
      <c r="B676" s="3"/>
      <c r="C676" s="3"/>
      <c r="D676" s="3"/>
      <c r="E676" s="4"/>
      <c r="F676" s="3"/>
      <c r="G676" s="5"/>
      <c r="H676" s="5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>
      <c r="A677" s="3"/>
      <c r="B677" s="3"/>
      <c r="C677" s="3"/>
      <c r="D677" s="3"/>
      <c r="E677" s="4"/>
      <c r="F677" s="3"/>
      <c r="G677" s="5"/>
      <c r="H677" s="5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>
      <c r="A678" s="3"/>
      <c r="B678" s="3"/>
      <c r="C678" s="3"/>
      <c r="D678" s="3"/>
      <c r="E678" s="4"/>
      <c r="F678" s="3"/>
      <c r="G678" s="5"/>
      <c r="H678" s="5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>
      <c r="A679" s="3"/>
      <c r="B679" s="3"/>
      <c r="C679" s="3"/>
      <c r="D679" s="3"/>
      <c r="E679" s="4"/>
      <c r="F679" s="3"/>
      <c r="G679" s="5"/>
      <c r="H679" s="5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>
      <c r="A680" s="3"/>
      <c r="B680" s="3"/>
      <c r="C680" s="3"/>
      <c r="D680" s="3"/>
      <c r="E680" s="4"/>
      <c r="F680" s="3"/>
      <c r="G680" s="5"/>
      <c r="H680" s="5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>
      <c r="A681" s="3"/>
      <c r="B681" s="3"/>
      <c r="C681" s="3"/>
      <c r="D681" s="3"/>
      <c r="E681" s="4"/>
      <c r="F681" s="3"/>
      <c r="G681" s="5"/>
      <c r="H681" s="5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>
      <c r="A682" s="3"/>
      <c r="B682" s="3"/>
      <c r="C682" s="3"/>
      <c r="D682" s="3"/>
      <c r="E682" s="4"/>
      <c r="F682" s="3"/>
      <c r="G682" s="5"/>
      <c r="H682" s="5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>
      <c r="A683" s="3"/>
      <c r="B683" s="3"/>
      <c r="C683" s="3"/>
      <c r="D683" s="3"/>
      <c r="E683" s="4"/>
      <c r="F683" s="3"/>
      <c r="G683" s="5"/>
      <c r="H683" s="5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>
      <c r="A684" s="3"/>
      <c r="B684" s="3"/>
      <c r="C684" s="3"/>
      <c r="D684" s="3"/>
      <c r="E684" s="4"/>
      <c r="F684" s="3"/>
      <c r="G684" s="5"/>
      <c r="H684" s="5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>
      <c r="A685" s="3"/>
      <c r="B685" s="3"/>
      <c r="C685" s="3"/>
      <c r="D685" s="3"/>
      <c r="E685" s="4"/>
      <c r="F685" s="3"/>
      <c r="G685" s="5"/>
      <c r="H685" s="5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>
      <c r="A686" s="3"/>
      <c r="B686" s="3"/>
      <c r="C686" s="3"/>
      <c r="D686" s="3"/>
      <c r="E686" s="4"/>
      <c r="F686" s="3"/>
      <c r="G686" s="5"/>
      <c r="H686" s="5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>
      <c r="A687" s="3"/>
      <c r="B687" s="3"/>
      <c r="C687" s="3"/>
      <c r="D687" s="3"/>
      <c r="E687" s="4"/>
      <c r="F687" s="3"/>
      <c r="G687" s="5"/>
      <c r="H687" s="5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>
      <c r="A688" s="3"/>
      <c r="B688" s="3"/>
      <c r="C688" s="3"/>
      <c r="D688" s="3"/>
      <c r="E688" s="4"/>
      <c r="F688" s="3"/>
      <c r="G688" s="5"/>
      <c r="H688" s="5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>
      <c r="A689" s="3"/>
      <c r="B689" s="3"/>
      <c r="C689" s="3"/>
      <c r="D689" s="3"/>
      <c r="E689" s="4"/>
      <c r="F689" s="3"/>
      <c r="G689" s="5"/>
      <c r="H689" s="5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>
      <c r="A690" s="3"/>
      <c r="B690" s="3"/>
      <c r="C690" s="3"/>
      <c r="D690" s="3"/>
      <c r="E690" s="4"/>
      <c r="F690" s="3"/>
      <c r="G690" s="5"/>
      <c r="H690" s="5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>
      <c r="A691" s="3"/>
      <c r="B691" s="3"/>
      <c r="C691" s="3"/>
      <c r="D691" s="3"/>
      <c r="E691" s="4"/>
      <c r="F691" s="3"/>
      <c r="G691" s="5"/>
      <c r="H691" s="5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>
      <c r="A692" s="3"/>
      <c r="B692" s="3"/>
      <c r="C692" s="3"/>
      <c r="D692" s="3"/>
      <c r="E692" s="4"/>
      <c r="F692" s="3"/>
      <c r="G692" s="5"/>
      <c r="H692" s="5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>
      <c r="A693" s="3"/>
      <c r="B693" s="3"/>
      <c r="C693" s="3"/>
      <c r="D693" s="3"/>
      <c r="E693" s="4"/>
      <c r="F693" s="3"/>
      <c r="G693" s="5"/>
      <c r="H693" s="5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>
      <c r="A694" s="3"/>
      <c r="B694" s="3"/>
      <c r="C694" s="3"/>
      <c r="D694" s="3"/>
      <c r="E694" s="4"/>
      <c r="F694" s="3"/>
      <c r="G694" s="5"/>
      <c r="H694" s="5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>
      <c r="A695" s="3"/>
      <c r="B695" s="3"/>
      <c r="C695" s="3"/>
      <c r="D695" s="3"/>
      <c r="E695" s="4"/>
      <c r="F695" s="3"/>
      <c r="G695" s="5"/>
      <c r="H695" s="5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>
      <c r="A696" s="3"/>
      <c r="B696" s="3"/>
      <c r="C696" s="3"/>
      <c r="D696" s="3"/>
      <c r="E696" s="4"/>
      <c r="F696" s="3"/>
      <c r="G696" s="5"/>
      <c r="H696" s="5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>
      <c r="A697" s="3"/>
      <c r="B697" s="3"/>
      <c r="C697" s="3"/>
      <c r="D697" s="3"/>
      <c r="E697" s="4"/>
      <c r="F697" s="3"/>
      <c r="G697" s="5"/>
      <c r="H697" s="5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>
      <c r="A698" s="3"/>
      <c r="B698" s="3"/>
      <c r="C698" s="3"/>
      <c r="D698" s="3"/>
      <c r="E698" s="4"/>
      <c r="F698" s="3"/>
      <c r="G698" s="5"/>
      <c r="H698" s="5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>
      <c r="A699" s="3"/>
      <c r="B699" s="3"/>
      <c r="C699" s="3"/>
      <c r="D699" s="3"/>
      <c r="E699" s="4"/>
      <c r="F699" s="3"/>
      <c r="G699" s="5"/>
      <c r="H699" s="5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>
      <c r="A700" s="3"/>
      <c r="B700" s="3"/>
      <c r="C700" s="3"/>
      <c r="D700" s="3"/>
      <c r="E700" s="4"/>
      <c r="F700" s="3"/>
      <c r="G700" s="5"/>
      <c r="H700" s="5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>
      <c r="A701" s="3"/>
      <c r="B701" s="3"/>
      <c r="C701" s="3"/>
      <c r="D701" s="3"/>
      <c r="E701" s="4"/>
      <c r="F701" s="3"/>
      <c r="G701" s="5"/>
      <c r="H701" s="5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>
      <c r="A702" s="3"/>
      <c r="B702" s="3"/>
      <c r="C702" s="3"/>
      <c r="D702" s="3"/>
      <c r="E702" s="4"/>
      <c r="F702" s="3"/>
      <c r="G702" s="5"/>
      <c r="H702" s="5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>
      <c r="A703" s="3"/>
      <c r="B703" s="3"/>
      <c r="C703" s="3"/>
      <c r="D703" s="3"/>
      <c r="E703" s="4"/>
      <c r="F703" s="3"/>
      <c r="G703" s="5"/>
      <c r="H703" s="5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>
      <c r="A704" s="3"/>
      <c r="B704" s="3"/>
      <c r="C704" s="3"/>
      <c r="D704" s="3"/>
      <c r="E704" s="4"/>
      <c r="F704" s="3"/>
      <c r="G704" s="5"/>
      <c r="H704" s="5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>
      <c r="A705" s="3"/>
      <c r="B705" s="3"/>
      <c r="C705" s="3"/>
      <c r="D705" s="3"/>
      <c r="E705" s="4"/>
      <c r="F705" s="3"/>
      <c r="G705" s="5"/>
      <c r="H705" s="5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>
      <c r="A706" s="3"/>
      <c r="B706" s="3"/>
      <c r="C706" s="3"/>
      <c r="D706" s="3"/>
      <c r="E706" s="4"/>
      <c r="F706" s="3"/>
      <c r="G706" s="5"/>
      <c r="H706" s="5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>
      <c r="A707" s="3"/>
      <c r="B707" s="3"/>
      <c r="C707" s="3"/>
      <c r="D707" s="3"/>
      <c r="E707" s="4"/>
      <c r="F707" s="3"/>
      <c r="G707" s="5"/>
      <c r="H707" s="5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>
      <c r="A708" s="3"/>
      <c r="B708" s="3"/>
      <c r="C708" s="3"/>
      <c r="D708" s="3"/>
      <c r="E708" s="4"/>
      <c r="F708" s="3"/>
      <c r="G708" s="5"/>
      <c r="H708" s="5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>
      <c r="A709" s="3"/>
      <c r="B709" s="3"/>
      <c r="C709" s="3"/>
      <c r="D709" s="3"/>
      <c r="E709" s="4"/>
      <c r="F709" s="3"/>
      <c r="G709" s="5"/>
      <c r="H709" s="5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>
      <c r="A710" s="3"/>
      <c r="B710" s="3"/>
      <c r="C710" s="3"/>
      <c r="D710" s="3"/>
      <c r="E710" s="4"/>
      <c r="F710" s="3"/>
      <c r="G710" s="5"/>
      <c r="H710" s="5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>
      <c r="A711" s="3"/>
      <c r="B711" s="3"/>
      <c r="C711" s="3"/>
      <c r="D711" s="3"/>
      <c r="E711" s="4"/>
      <c r="F711" s="3"/>
      <c r="G711" s="5"/>
      <c r="H711" s="5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>
      <c r="A712" s="3"/>
      <c r="B712" s="3"/>
      <c r="C712" s="3"/>
      <c r="D712" s="3"/>
      <c r="E712" s="4"/>
      <c r="F712" s="3"/>
      <c r="G712" s="5"/>
      <c r="H712" s="5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>
      <c r="A713" s="3"/>
      <c r="B713" s="3"/>
      <c r="C713" s="3"/>
      <c r="D713" s="3"/>
      <c r="E713" s="4"/>
      <c r="F713" s="3"/>
      <c r="G713" s="5"/>
      <c r="H713" s="5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>
      <c r="A714" s="3"/>
      <c r="B714" s="3"/>
      <c r="C714" s="3"/>
      <c r="D714" s="3"/>
      <c r="E714" s="4"/>
      <c r="F714" s="3"/>
      <c r="G714" s="5"/>
      <c r="H714" s="5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>
      <c r="A715" s="3"/>
      <c r="B715" s="3"/>
      <c r="C715" s="3"/>
      <c r="D715" s="3"/>
      <c r="E715" s="4"/>
      <c r="F715" s="3"/>
      <c r="G715" s="5"/>
      <c r="H715" s="5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>
      <c r="A716" s="3"/>
      <c r="B716" s="3"/>
      <c r="C716" s="3"/>
      <c r="D716" s="3"/>
      <c r="E716" s="4"/>
      <c r="F716" s="3"/>
      <c r="G716" s="5"/>
      <c r="H716" s="5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>
      <c r="A717" s="3"/>
      <c r="B717" s="3"/>
      <c r="C717" s="3"/>
      <c r="D717" s="3"/>
      <c r="E717" s="4"/>
      <c r="F717" s="3"/>
      <c r="G717" s="5"/>
      <c r="H717" s="5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>
      <c r="A718" s="3"/>
      <c r="B718" s="3"/>
      <c r="C718" s="3"/>
      <c r="D718" s="3"/>
      <c r="E718" s="4"/>
      <c r="F718" s="3"/>
      <c r="G718" s="5"/>
      <c r="H718" s="5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>
      <c r="A719" s="3"/>
      <c r="B719" s="3"/>
      <c r="C719" s="3"/>
      <c r="D719" s="3"/>
      <c r="E719" s="4"/>
      <c r="F719" s="3"/>
      <c r="G719" s="5"/>
      <c r="H719" s="5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>
      <c r="A720" s="3"/>
      <c r="B720" s="3"/>
      <c r="C720" s="3"/>
      <c r="D720" s="3"/>
      <c r="E720" s="4"/>
      <c r="F720" s="3"/>
      <c r="G720" s="5"/>
      <c r="H720" s="5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>
      <c r="A721" s="3"/>
      <c r="B721" s="3"/>
      <c r="C721" s="3"/>
      <c r="D721" s="3"/>
      <c r="E721" s="4"/>
      <c r="F721" s="3"/>
      <c r="G721" s="5"/>
      <c r="H721" s="5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>
      <c r="A722" s="3"/>
      <c r="B722" s="3"/>
      <c r="C722" s="3"/>
      <c r="D722" s="3"/>
      <c r="E722" s="4"/>
      <c r="F722" s="3"/>
      <c r="G722" s="5"/>
      <c r="H722" s="5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>
      <c r="A723" s="3"/>
      <c r="B723" s="3"/>
      <c r="C723" s="3"/>
      <c r="D723" s="3"/>
      <c r="E723" s="4"/>
      <c r="F723" s="3"/>
      <c r="G723" s="5"/>
      <c r="H723" s="5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>
      <c r="A724" s="3"/>
      <c r="B724" s="3"/>
      <c r="C724" s="3"/>
      <c r="D724" s="3"/>
      <c r="E724" s="4"/>
      <c r="F724" s="3"/>
      <c r="G724" s="5"/>
      <c r="H724" s="5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>
      <c r="A725" s="3"/>
      <c r="B725" s="3"/>
      <c r="C725" s="3"/>
      <c r="D725" s="3"/>
      <c r="E725" s="4"/>
      <c r="F725" s="3"/>
      <c r="G725" s="5"/>
      <c r="H725" s="5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>
      <c r="A726" s="3"/>
      <c r="B726" s="3"/>
      <c r="C726" s="3"/>
      <c r="D726" s="3"/>
      <c r="E726" s="4"/>
      <c r="F726" s="3"/>
      <c r="G726" s="5"/>
      <c r="H726" s="5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>
      <c r="A727" s="3"/>
      <c r="B727" s="3"/>
      <c r="C727" s="3"/>
      <c r="D727" s="3"/>
      <c r="E727" s="4"/>
      <c r="F727" s="3"/>
      <c r="G727" s="5"/>
      <c r="H727" s="5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>
      <c r="A728" s="3"/>
      <c r="B728" s="3"/>
      <c r="C728" s="3"/>
      <c r="D728" s="3"/>
      <c r="E728" s="4"/>
      <c r="F728" s="3"/>
      <c r="G728" s="5"/>
      <c r="H728" s="5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>
      <c r="A729" s="3"/>
      <c r="B729" s="3"/>
      <c r="C729" s="3"/>
      <c r="D729" s="3"/>
      <c r="E729" s="4"/>
      <c r="F729" s="3"/>
      <c r="G729" s="5"/>
      <c r="H729" s="5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>
      <c r="A730" s="3"/>
      <c r="B730" s="3"/>
      <c r="C730" s="3"/>
      <c r="D730" s="3"/>
      <c r="E730" s="4"/>
      <c r="F730" s="3"/>
      <c r="G730" s="5"/>
      <c r="H730" s="5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>
      <c r="A731" s="3"/>
      <c r="B731" s="3"/>
      <c r="C731" s="3"/>
      <c r="D731" s="3"/>
      <c r="E731" s="4"/>
      <c r="F731" s="3"/>
      <c r="G731" s="5"/>
      <c r="H731" s="5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>
      <c r="A732" s="3"/>
      <c r="B732" s="3"/>
      <c r="C732" s="3"/>
      <c r="D732" s="3"/>
      <c r="E732" s="4"/>
      <c r="F732" s="3"/>
      <c r="G732" s="5"/>
      <c r="H732" s="5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>
      <c r="A733" s="3"/>
      <c r="B733" s="3"/>
      <c r="C733" s="3"/>
      <c r="D733" s="3"/>
      <c r="E733" s="4"/>
      <c r="F733" s="3"/>
      <c r="G733" s="5"/>
      <c r="H733" s="5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>
      <c r="A734" s="3"/>
      <c r="B734" s="3"/>
      <c r="C734" s="3"/>
      <c r="D734" s="3"/>
      <c r="E734" s="4"/>
      <c r="F734" s="3"/>
      <c r="G734" s="5"/>
      <c r="H734" s="5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>
      <c r="A735" s="3"/>
      <c r="B735" s="3"/>
      <c r="C735" s="3"/>
      <c r="D735" s="3"/>
      <c r="E735" s="4"/>
      <c r="F735" s="3"/>
      <c r="G735" s="5"/>
      <c r="H735" s="5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>
      <c r="A736" s="3"/>
      <c r="B736" s="3"/>
      <c r="C736" s="3"/>
      <c r="D736" s="3"/>
      <c r="E736" s="4"/>
      <c r="F736" s="3"/>
      <c r="G736" s="5"/>
      <c r="H736" s="5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>
      <c r="A737" s="3"/>
      <c r="B737" s="3"/>
      <c r="C737" s="3"/>
      <c r="D737" s="3"/>
      <c r="E737" s="4"/>
      <c r="F737" s="3"/>
      <c r="G737" s="5"/>
      <c r="H737" s="5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>
      <c r="A738" s="3"/>
      <c r="B738" s="3"/>
      <c r="C738" s="3"/>
      <c r="D738" s="3"/>
      <c r="E738" s="4"/>
      <c r="F738" s="3"/>
      <c r="G738" s="5"/>
      <c r="H738" s="5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>
      <c r="A739" s="3"/>
      <c r="B739" s="3"/>
      <c r="C739" s="3"/>
      <c r="D739" s="3"/>
      <c r="E739" s="4"/>
      <c r="F739" s="3"/>
      <c r="G739" s="5"/>
      <c r="H739" s="5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>
      <c r="A740" s="3"/>
      <c r="B740" s="3"/>
      <c r="C740" s="3"/>
      <c r="D740" s="3"/>
      <c r="E740" s="4"/>
      <c r="F740" s="3"/>
      <c r="G740" s="5"/>
      <c r="H740" s="5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>
      <c r="A741" s="3"/>
      <c r="B741" s="3"/>
      <c r="C741" s="3"/>
      <c r="D741" s="3"/>
      <c r="E741" s="4"/>
      <c r="F741" s="3"/>
      <c r="G741" s="5"/>
      <c r="H741" s="5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>
      <c r="A742" s="3"/>
      <c r="B742" s="3"/>
      <c r="C742" s="3"/>
      <c r="D742" s="3"/>
      <c r="E742" s="4"/>
      <c r="F742" s="3"/>
      <c r="G742" s="5"/>
      <c r="H742" s="5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>
      <c r="A743" s="3"/>
      <c r="B743" s="3"/>
      <c r="C743" s="3"/>
      <c r="D743" s="3"/>
      <c r="E743" s="4"/>
      <c r="F743" s="3"/>
      <c r="G743" s="5"/>
      <c r="H743" s="5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>
      <c r="A744" s="3"/>
      <c r="B744" s="3"/>
      <c r="C744" s="3"/>
      <c r="D744" s="3"/>
      <c r="E744" s="4"/>
      <c r="F744" s="3"/>
      <c r="G744" s="5"/>
      <c r="H744" s="5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>
      <c r="A745" s="3"/>
      <c r="B745" s="3"/>
      <c r="C745" s="3"/>
      <c r="D745" s="3"/>
      <c r="E745" s="4"/>
      <c r="F745" s="3"/>
      <c r="G745" s="5"/>
      <c r="H745" s="5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>
      <c r="A746" s="3"/>
      <c r="B746" s="3"/>
      <c r="C746" s="3"/>
      <c r="D746" s="3"/>
      <c r="E746" s="4"/>
      <c r="F746" s="3"/>
      <c r="G746" s="5"/>
      <c r="H746" s="5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>
      <c r="A747" s="3"/>
      <c r="B747" s="3"/>
      <c r="C747" s="3"/>
      <c r="D747" s="3"/>
      <c r="E747" s="4"/>
      <c r="F747" s="3"/>
      <c r="G747" s="5"/>
      <c r="H747" s="5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>
      <c r="A748" s="3"/>
      <c r="B748" s="3"/>
      <c r="C748" s="3"/>
      <c r="D748" s="3"/>
      <c r="E748" s="4"/>
      <c r="F748" s="3"/>
      <c r="G748" s="5"/>
      <c r="H748" s="5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>
      <c r="A749" s="3"/>
      <c r="B749" s="3"/>
      <c r="C749" s="3"/>
      <c r="D749" s="3"/>
      <c r="E749" s="4"/>
      <c r="F749" s="3"/>
      <c r="G749" s="5"/>
      <c r="H749" s="5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>
      <c r="A750" s="3"/>
      <c r="B750" s="3"/>
      <c r="C750" s="3"/>
      <c r="D750" s="3"/>
      <c r="E750" s="4"/>
      <c r="F750" s="3"/>
      <c r="G750" s="5"/>
      <c r="H750" s="5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>
      <c r="A751" s="3"/>
      <c r="B751" s="3"/>
      <c r="C751" s="3"/>
      <c r="D751" s="3"/>
      <c r="E751" s="4"/>
      <c r="F751" s="3"/>
      <c r="G751" s="5"/>
      <c r="H751" s="5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>
      <c r="A752" s="3"/>
      <c r="B752" s="3"/>
      <c r="C752" s="3"/>
      <c r="D752" s="3"/>
      <c r="E752" s="4"/>
      <c r="F752" s="3"/>
      <c r="G752" s="5"/>
      <c r="H752" s="5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>
      <c r="A753" s="3"/>
      <c r="B753" s="3"/>
      <c r="C753" s="3"/>
      <c r="D753" s="3"/>
      <c r="E753" s="4"/>
      <c r="F753" s="3"/>
      <c r="G753" s="5"/>
      <c r="H753" s="5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>
      <c r="A754" s="3"/>
      <c r="B754" s="3"/>
      <c r="C754" s="3"/>
      <c r="D754" s="3"/>
      <c r="E754" s="4"/>
      <c r="F754" s="3"/>
      <c r="G754" s="5"/>
      <c r="H754" s="5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>
      <c r="A755" s="3"/>
      <c r="B755" s="3"/>
      <c r="C755" s="3"/>
      <c r="D755" s="3"/>
      <c r="E755" s="4"/>
      <c r="F755" s="3"/>
      <c r="G755" s="5"/>
      <c r="H755" s="5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>
      <c r="A756" s="3"/>
      <c r="B756" s="3"/>
      <c r="C756" s="3"/>
      <c r="D756" s="3"/>
      <c r="E756" s="4"/>
      <c r="F756" s="3"/>
      <c r="G756" s="5"/>
      <c r="H756" s="5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>
      <c r="A757" s="3"/>
      <c r="B757" s="3"/>
      <c r="C757" s="3"/>
      <c r="D757" s="3"/>
      <c r="E757" s="4"/>
      <c r="F757" s="3"/>
      <c r="G757" s="5"/>
      <c r="H757" s="5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>
      <c r="A758" s="3"/>
      <c r="B758" s="3"/>
      <c r="C758" s="3"/>
      <c r="D758" s="3"/>
      <c r="E758" s="4"/>
      <c r="F758" s="3"/>
      <c r="G758" s="5"/>
      <c r="H758" s="5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>
      <c r="A759" s="3"/>
      <c r="B759" s="3"/>
      <c r="C759" s="3"/>
      <c r="D759" s="3"/>
      <c r="E759" s="4"/>
      <c r="F759" s="3"/>
      <c r="G759" s="5"/>
      <c r="H759" s="5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>
      <c r="A760" s="3"/>
      <c r="B760" s="3"/>
      <c r="C760" s="3"/>
      <c r="D760" s="3"/>
      <c r="E760" s="4"/>
      <c r="F760" s="3"/>
      <c r="G760" s="5"/>
      <c r="H760" s="5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>
      <c r="A761" s="3"/>
      <c r="B761" s="3"/>
      <c r="C761" s="3"/>
      <c r="D761" s="3"/>
      <c r="E761" s="4"/>
      <c r="F761" s="3"/>
      <c r="G761" s="5"/>
      <c r="H761" s="5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>
      <c r="A762" s="3"/>
      <c r="B762" s="3"/>
      <c r="C762" s="3"/>
      <c r="D762" s="3"/>
      <c r="E762" s="4"/>
      <c r="F762" s="3"/>
      <c r="G762" s="5"/>
      <c r="H762" s="5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>
      <c r="A763" s="3"/>
      <c r="B763" s="3"/>
      <c r="C763" s="3"/>
      <c r="D763" s="3"/>
      <c r="E763" s="4"/>
      <c r="F763" s="3"/>
      <c r="G763" s="5"/>
      <c r="H763" s="5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>
      <c r="A764" s="3"/>
      <c r="B764" s="3"/>
      <c r="C764" s="3"/>
      <c r="D764" s="3"/>
      <c r="E764" s="4"/>
      <c r="F764" s="3"/>
      <c r="G764" s="5"/>
      <c r="H764" s="5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>
      <c r="A765" s="3"/>
      <c r="B765" s="3"/>
      <c r="C765" s="3"/>
      <c r="D765" s="3"/>
      <c r="E765" s="4"/>
      <c r="F765" s="3"/>
      <c r="G765" s="5"/>
      <c r="H765" s="5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>
      <c r="A766" s="3"/>
      <c r="B766" s="3"/>
      <c r="C766" s="3"/>
      <c r="D766" s="3"/>
      <c r="E766" s="4"/>
      <c r="F766" s="3"/>
      <c r="G766" s="5"/>
      <c r="H766" s="5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>
      <c r="A767" s="3"/>
      <c r="B767" s="3"/>
      <c r="C767" s="3"/>
      <c r="D767" s="3"/>
      <c r="E767" s="4"/>
      <c r="F767" s="3"/>
      <c r="G767" s="5"/>
      <c r="H767" s="5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>
      <c r="A768" s="3"/>
      <c r="B768" s="3"/>
      <c r="C768" s="3"/>
      <c r="D768" s="3"/>
      <c r="E768" s="4"/>
      <c r="F768" s="3"/>
      <c r="G768" s="5"/>
      <c r="H768" s="5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>
      <c r="A769" s="3"/>
      <c r="B769" s="3"/>
      <c r="C769" s="3"/>
      <c r="D769" s="3"/>
      <c r="E769" s="4"/>
      <c r="F769" s="3"/>
      <c r="G769" s="5"/>
      <c r="H769" s="5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>
      <c r="A770" s="3"/>
      <c r="B770" s="3"/>
      <c r="C770" s="3"/>
      <c r="D770" s="3"/>
      <c r="E770" s="4"/>
      <c r="F770" s="3"/>
      <c r="G770" s="5"/>
      <c r="H770" s="5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>
      <c r="A771" s="3"/>
      <c r="B771" s="3"/>
      <c r="C771" s="3"/>
      <c r="D771" s="3"/>
      <c r="E771" s="4"/>
      <c r="F771" s="3"/>
      <c r="G771" s="5"/>
      <c r="H771" s="5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>
      <c r="A772" s="3"/>
      <c r="B772" s="3"/>
      <c r="C772" s="3"/>
      <c r="D772" s="3"/>
      <c r="E772" s="4"/>
      <c r="F772" s="3"/>
      <c r="G772" s="5"/>
      <c r="H772" s="5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>
      <c r="A773" s="3"/>
      <c r="B773" s="3"/>
      <c r="C773" s="3"/>
      <c r="D773" s="3"/>
      <c r="E773" s="4"/>
      <c r="F773" s="3"/>
      <c r="G773" s="5"/>
      <c r="H773" s="5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>
      <c r="A774" s="3"/>
      <c r="B774" s="3"/>
      <c r="C774" s="3"/>
      <c r="D774" s="3"/>
      <c r="E774" s="4"/>
      <c r="F774" s="3"/>
      <c r="G774" s="5"/>
      <c r="H774" s="5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>
      <c r="A775" s="3"/>
      <c r="B775" s="3"/>
      <c r="C775" s="3"/>
      <c r="D775" s="3"/>
      <c r="E775" s="4"/>
      <c r="F775" s="3"/>
      <c r="G775" s="5"/>
      <c r="H775" s="5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>
      <c r="A776" s="3"/>
      <c r="B776" s="3"/>
      <c r="C776" s="3"/>
      <c r="D776" s="3"/>
      <c r="E776" s="4"/>
      <c r="F776" s="3"/>
      <c r="G776" s="5"/>
      <c r="H776" s="5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>
      <c r="A777" s="3"/>
      <c r="B777" s="3"/>
      <c r="C777" s="3"/>
      <c r="D777" s="3"/>
      <c r="E777" s="4"/>
      <c r="F777" s="3"/>
      <c r="G777" s="5"/>
      <c r="H777" s="5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>
      <c r="A778" s="3"/>
      <c r="B778" s="3"/>
      <c r="C778" s="3"/>
      <c r="D778" s="3"/>
      <c r="E778" s="4"/>
      <c r="F778" s="3"/>
      <c r="G778" s="5"/>
      <c r="H778" s="5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>
      <c r="A779" s="3"/>
      <c r="B779" s="3"/>
      <c r="C779" s="3"/>
      <c r="D779" s="3"/>
      <c r="E779" s="4"/>
      <c r="F779" s="3"/>
      <c r="G779" s="5"/>
      <c r="H779" s="5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>
      <c r="A780" s="3"/>
      <c r="B780" s="3"/>
      <c r="C780" s="3"/>
      <c r="D780" s="3"/>
      <c r="E780" s="4"/>
      <c r="F780" s="3"/>
      <c r="G780" s="5"/>
      <c r="H780" s="5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>
      <c r="A781" s="3"/>
      <c r="B781" s="3"/>
      <c r="C781" s="3"/>
      <c r="D781" s="3"/>
      <c r="E781" s="4"/>
      <c r="F781" s="3"/>
      <c r="G781" s="5"/>
      <c r="H781" s="5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>
      <c r="A782" s="3"/>
      <c r="B782" s="3"/>
      <c r="C782" s="3"/>
      <c r="D782" s="3"/>
      <c r="E782" s="4"/>
      <c r="F782" s="3"/>
      <c r="G782" s="5"/>
      <c r="H782" s="5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>
      <c r="A783" s="3"/>
      <c r="B783" s="3"/>
      <c r="C783" s="3"/>
      <c r="D783" s="3"/>
      <c r="E783" s="4"/>
      <c r="F783" s="3"/>
      <c r="G783" s="5"/>
      <c r="H783" s="5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>
      <c r="A784" s="3"/>
      <c r="B784" s="3"/>
      <c r="C784" s="3"/>
      <c r="D784" s="3"/>
      <c r="E784" s="4"/>
      <c r="F784" s="3"/>
      <c r="G784" s="5"/>
      <c r="H784" s="5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>
      <c r="A785" s="3"/>
      <c r="B785" s="3"/>
      <c r="C785" s="3"/>
      <c r="D785" s="3"/>
      <c r="E785" s="4"/>
      <c r="F785" s="3"/>
      <c r="G785" s="5"/>
      <c r="H785" s="5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>
      <c r="A786" s="3"/>
      <c r="B786" s="3"/>
      <c r="C786" s="3"/>
      <c r="D786" s="3"/>
      <c r="E786" s="4"/>
      <c r="F786" s="3"/>
      <c r="G786" s="5"/>
      <c r="H786" s="5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>
      <c r="A787" s="3"/>
      <c r="B787" s="3"/>
      <c r="C787" s="3"/>
      <c r="D787" s="3"/>
      <c r="E787" s="4"/>
      <c r="F787" s="3"/>
      <c r="G787" s="5"/>
      <c r="H787" s="5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>
      <c r="A788" s="3"/>
      <c r="B788" s="3"/>
      <c r="C788" s="3"/>
      <c r="D788" s="3"/>
      <c r="E788" s="4"/>
      <c r="F788" s="3"/>
      <c r="G788" s="5"/>
      <c r="H788" s="5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>
      <c r="A789" s="3"/>
      <c r="B789" s="3"/>
      <c r="C789" s="3"/>
      <c r="D789" s="3"/>
      <c r="E789" s="4"/>
      <c r="F789" s="3"/>
      <c r="G789" s="5"/>
      <c r="H789" s="5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>
      <c r="A790" s="3"/>
      <c r="B790" s="3"/>
      <c r="C790" s="3"/>
      <c r="D790" s="3"/>
      <c r="E790" s="4"/>
      <c r="F790" s="3"/>
      <c r="G790" s="5"/>
      <c r="H790" s="5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>
      <c r="A791" s="3"/>
      <c r="B791" s="3"/>
      <c r="C791" s="3"/>
      <c r="D791" s="3"/>
      <c r="E791" s="4"/>
      <c r="F791" s="3"/>
      <c r="G791" s="5"/>
      <c r="H791" s="5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>
      <c r="A792" s="3"/>
      <c r="B792" s="3"/>
      <c r="C792" s="3"/>
      <c r="D792" s="3"/>
      <c r="E792" s="4"/>
      <c r="F792" s="3"/>
      <c r="G792" s="5"/>
      <c r="H792" s="5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>
      <c r="A793" s="3"/>
      <c r="B793" s="3"/>
      <c r="C793" s="3"/>
      <c r="D793" s="3"/>
      <c r="E793" s="4"/>
      <c r="F793" s="3"/>
      <c r="G793" s="5"/>
      <c r="H793" s="5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>
      <c r="A794" s="3"/>
      <c r="B794" s="3"/>
      <c r="C794" s="3"/>
      <c r="D794" s="3"/>
      <c r="E794" s="4"/>
      <c r="F794" s="3"/>
      <c r="G794" s="5"/>
      <c r="H794" s="5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>
      <c r="A795" s="3"/>
      <c r="B795" s="3"/>
      <c r="C795" s="3"/>
      <c r="D795" s="3"/>
      <c r="E795" s="4"/>
      <c r="F795" s="3"/>
      <c r="G795" s="5"/>
      <c r="H795" s="5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>
      <c r="A796" s="3"/>
      <c r="B796" s="3"/>
      <c r="C796" s="3"/>
      <c r="D796" s="3"/>
      <c r="E796" s="4"/>
      <c r="F796" s="3"/>
      <c r="G796" s="5"/>
      <c r="H796" s="5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>
      <c r="A797" s="3"/>
      <c r="B797" s="3"/>
      <c r="C797" s="3"/>
      <c r="D797" s="3"/>
      <c r="E797" s="4"/>
      <c r="F797" s="3"/>
      <c r="G797" s="5"/>
      <c r="H797" s="5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>
      <c r="A798" s="3"/>
      <c r="B798" s="3"/>
      <c r="C798" s="3"/>
      <c r="D798" s="3"/>
      <c r="E798" s="4"/>
      <c r="F798" s="3"/>
      <c r="G798" s="5"/>
      <c r="H798" s="5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>
      <c r="A799" s="3"/>
      <c r="B799" s="3"/>
      <c r="C799" s="3"/>
      <c r="D799" s="3"/>
      <c r="E799" s="4"/>
      <c r="F799" s="3"/>
      <c r="G799" s="5"/>
      <c r="H799" s="5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>
      <c r="A800" s="3"/>
      <c r="B800" s="3"/>
      <c r="C800" s="3"/>
      <c r="D800" s="3"/>
      <c r="E800" s="4"/>
      <c r="F800" s="3"/>
      <c r="G800" s="5"/>
      <c r="H800" s="5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>
      <c r="A801" s="3"/>
      <c r="B801" s="3"/>
      <c r="C801" s="3"/>
      <c r="D801" s="3"/>
      <c r="E801" s="4"/>
      <c r="F801" s="3"/>
      <c r="G801" s="5"/>
      <c r="H801" s="5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>
      <c r="A802" s="3"/>
      <c r="B802" s="3"/>
      <c r="C802" s="3"/>
      <c r="D802" s="3"/>
      <c r="E802" s="4"/>
      <c r="F802" s="3"/>
      <c r="G802" s="5"/>
      <c r="H802" s="5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>
      <c r="A803" s="3"/>
      <c r="B803" s="3"/>
      <c r="C803" s="3"/>
      <c r="D803" s="3"/>
      <c r="E803" s="4"/>
      <c r="F803" s="3"/>
      <c r="G803" s="5"/>
      <c r="H803" s="5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>
      <c r="A804" s="3"/>
      <c r="B804" s="3"/>
      <c r="C804" s="3"/>
      <c r="D804" s="3"/>
      <c r="E804" s="4"/>
      <c r="F804" s="3"/>
      <c r="G804" s="5"/>
      <c r="H804" s="5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>
      <c r="A805" s="3"/>
      <c r="B805" s="3"/>
      <c r="C805" s="3"/>
      <c r="D805" s="3"/>
      <c r="E805" s="4"/>
      <c r="F805" s="3"/>
      <c r="G805" s="5"/>
      <c r="H805" s="5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>
      <c r="A806" s="3"/>
      <c r="B806" s="3"/>
      <c r="C806" s="3"/>
      <c r="D806" s="3"/>
      <c r="E806" s="4"/>
      <c r="F806" s="3"/>
      <c r="G806" s="5"/>
      <c r="H806" s="5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>
      <c r="A807" s="3"/>
      <c r="B807" s="3"/>
      <c r="C807" s="3"/>
      <c r="D807" s="3"/>
      <c r="E807" s="4"/>
      <c r="F807" s="3"/>
      <c r="G807" s="5"/>
      <c r="H807" s="5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>
      <c r="A808" s="3"/>
      <c r="B808" s="3"/>
      <c r="C808" s="3"/>
      <c r="D808" s="3"/>
      <c r="E808" s="4"/>
      <c r="F808" s="3"/>
      <c r="G808" s="5"/>
      <c r="H808" s="5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>
      <c r="A809" s="3"/>
      <c r="B809" s="3"/>
      <c r="C809" s="3"/>
      <c r="D809" s="3"/>
      <c r="E809" s="4"/>
      <c r="F809" s="3"/>
      <c r="G809" s="5"/>
      <c r="H809" s="5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>
      <c r="A810" s="3"/>
      <c r="B810" s="3"/>
      <c r="C810" s="3"/>
      <c r="D810" s="3"/>
      <c r="E810" s="4"/>
      <c r="F810" s="3"/>
      <c r="G810" s="5"/>
      <c r="H810" s="5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>
      <c r="A811" s="3"/>
      <c r="B811" s="3"/>
      <c r="C811" s="3"/>
      <c r="D811" s="3"/>
      <c r="E811" s="4"/>
      <c r="F811" s="3"/>
      <c r="G811" s="5"/>
      <c r="H811" s="5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>
      <c r="A812" s="3"/>
      <c r="B812" s="3"/>
      <c r="C812" s="3"/>
      <c r="D812" s="3"/>
      <c r="E812" s="4"/>
      <c r="F812" s="3"/>
      <c r="G812" s="5"/>
      <c r="H812" s="5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>
      <c r="A813" s="3"/>
      <c r="B813" s="3"/>
      <c r="C813" s="3"/>
      <c r="D813" s="3"/>
      <c r="E813" s="4"/>
      <c r="F813" s="3"/>
      <c r="G813" s="5"/>
      <c r="H813" s="5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>
      <c r="A814" s="3"/>
      <c r="B814" s="3"/>
      <c r="C814" s="3"/>
      <c r="D814" s="3"/>
      <c r="E814" s="4"/>
      <c r="F814" s="3"/>
      <c r="G814" s="5"/>
      <c r="H814" s="5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>
      <c r="A815" s="3"/>
      <c r="B815" s="3"/>
      <c r="C815" s="3"/>
      <c r="D815" s="3"/>
      <c r="E815" s="4"/>
      <c r="F815" s="3"/>
      <c r="G815" s="5"/>
      <c r="H815" s="5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>
      <c r="A816" s="3"/>
      <c r="B816" s="3"/>
      <c r="C816" s="3"/>
      <c r="D816" s="3"/>
      <c r="E816" s="4"/>
      <c r="F816" s="3"/>
      <c r="G816" s="5"/>
      <c r="H816" s="5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>
      <c r="A817" s="3"/>
      <c r="B817" s="3"/>
      <c r="C817" s="3"/>
      <c r="D817" s="3"/>
      <c r="E817" s="4"/>
      <c r="F817" s="3"/>
      <c r="G817" s="5"/>
      <c r="H817" s="5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>
      <c r="A818" s="3"/>
      <c r="B818" s="3"/>
      <c r="C818" s="3"/>
      <c r="D818" s="3"/>
      <c r="E818" s="4"/>
      <c r="F818" s="3"/>
      <c r="G818" s="5"/>
      <c r="H818" s="5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>
      <c r="A819" s="3"/>
      <c r="B819" s="3"/>
      <c r="C819" s="3"/>
      <c r="D819" s="3"/>
      <c r="E819" s="4"/>
      <c r="F819" s="3"/>
      <c r="G819" s="5"/>
      <c r="H819" s="5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>
      <c r="A820" s="3"/>
      <c r="B820" s="3"/>
      <c r="C820" s="3"/>
      <c r="D820" s="3"/>
      <c r="E820" s="4"/>
      <c r="F820" s="3"/>
      <c r="G820" s="5"/>
      <c r="H820" s="5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>
      <c r="A821" s="3"/>
      <c r="B821" s="3"/>
      <c r="C821" s="3"/>
      <c r="D821" s="3"/>
      <c r="E821" s="4"/>
      <c r="F821" s="3"/>
      <c r="G821" s="5"/>
      <c r="H821" s="5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>
      <c r="A822" s="3"/>
      <c r="B822" s="3"/>
      <c r="C822" s="3"/>
      <c r="D822" s="3"/>
      <c r="E822" s="4"/>
      <c r="F822" s="3"/>
      <c r="G822" s="5"/>
      <c r="H822" s="5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>
      <c r="A823" s="3"/>
      <c r="B823" s="3"/>
      <c r="C823" s="3"/>
      <c r="D823" s="3"/>
      <c r="E823" s="4"/>
      <c r="F823" s="3"/>
      <c r="G823" s="5"/>
      <c r="H823" s="5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>
      <c r="A824" s="3"/>
      <c r="B824" s="3"/>
      <c r="C824" s="3"/>
      <c r="D824" s="3"/>
      <c r="E824" s="4"/>
      <c r="F824" s="3"/>
      <c r="G824" s="5"/>
      <c r="H824" s="5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>
      <c r="A825" s="3"/>
      <c r="B825" s="3"/>
      <c r="C825" s="3"/>
      <c r="D825" s="3"/>
      <c r="E825" s="4"/>
      <c r="F825" s="3"/>
      <c r="G825" s="5"/>
      <c r="H825" s="5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>
      <c r="A826" s="3"/>
      <c r="B826" s="3"/>
      <c r="C826" s="3"/>
      <c r="D826" s="3"/>
      <c r="E826" s="4"/>
      <c r="F826" s="3"/>
      <c r="G826" s="5"/>
      <c r="H826" s="5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>
      <c r="A827" s="3"/>
      <c r="B827" s="3"/>
      <c r="C827" s="3"/>
      <c r="D827" s="3"/>
      <c r="E827" s="4"/>
      <c r="F827" s="3"/>
      <c r="G827" s="5"/>
      <c r="H827" s="5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>
      <c r="A828" s="3"/>
      <c r="B828" s="3"/>
      <c r="C828" s="3"/>
      <c r="D828" s="3"/>
      <c r="E828" s="4"/>
      <c r="F828" s="3"/>
      <c r="G828" s="5"/>
      <c r="H828" s="5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>
      <c r="A829" s="3"/>
      <c r="B829" s="3"/>
      <c r="C829" s="3"/>
      <c r="D829" s="3"/>
      <c r="E829" s="4"/>
      <c r="F829" s="3"/>
      <c r="G829" s="5"/>
      <c r="H829" s="5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>
      <c r="A830" s="3"/>
      <c r="B830" s="3"/>
      <c r="C830" s="3"/>
      <c r="D830" s="3"/>
      <c r="E830" s="4"/>
      <c r="F830" s="3"/>
      <c r="G830" s="5"/>
      <c r="H830" s="5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>
      <c r="A831" s="3"/>
      <c r="B831" s="3"/>
      <c r="C831" s="3"/>
      <c r="D831" s="3"/>
      <c r="E831" s="4"/>
      <c r="F831" s="3"/>
      <c r="G831" s="5"/>
      <c r="H831" s="5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>
      <c r="A832" s="3"/>
      <c r="B832" s="3"/>
      <c r="C832" s="3"/>
      <c r="D832" s="3"/>
      <c r="E832" s="4"/>
      <c r="F832" s="3"/>
      <c r="G832" s="5"/>
      <c r="H832" s="5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>
      <c r="A833" s="3"/>
      <c r="B833" s="3"/>
      <c r="C833" s="3"/>
      <c r="D833" s="3"/>
      <c r="E833" s="4"/>
      <c r="F833" s="3"/>
      <c r="G833" s="5"/>
      <c r="H833" s="5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>
      <c r="A834" s="3"/>
      <c r="B834" s="3"/>
      <c r="C834" s="3"/>
      <c r="D834" s="3"/>
      <c r="E834" s="4"/>
      <c r="F834" s="3"/>
      <c r="G834" s="5"/>
      <c r="H834" s="5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>
      <c r="A835" s="3"/>
      <c r="B835" s="3"/>
      <c r="C835" s="3"/>
      <c r="D835" s="3"/>
      <c r="E835" s="4"/>
      <c r="F835" s="3"/>
      <c r="G835" s="5"/>
      <c r="H835" s="5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>
      <c r="A836" s="3"/>
      <c r="B836" s="3"/>
      <c r="C836" s="3"/>
      <c r="D836" s="3"/>
      <c r="E836" s="4"/>
      <c r="F836" s="3"/>
      <c r="G836" s="5"/>
      <c r="H836" s="5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>
      <c r="A837" s="3"/>
      <c r="B837" s="3"/>
      <c r="C837" s="3"/>
      <c r="D837" s="3"/>
      <c r="E837" s="4"/>
      <c r="F837" s="3"/>
      <c r="G837" s="5"/>
      <c r="H837" s="5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>
      <c r="A838" s="3"/>
      <c r="B838" s="3"/>
      <c r="C838" s="3"/>
      <c r="D838" s="3"/>
      <c r="E838" s="4"/>
      <c r="F838" s="3"/>
      <c r="G838" s="5"/>
      <c r="H838" s="5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>
      <c r="A839" s="3"/>
      <c r="B839" s="3"/>
      <c r="C839" s="3"/>
      <c r="D839" s="3"/>
      <c r="E839" s="4"/>
      <c r="F839" s="3"/>
      <c r="G839" s="5"/>
      <c r="H839" s="5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>
      <c r="A840" s="3"/>
      <c r="B840" s="3"/>
      <c r="C840" s="3"/>
      <c r="D840" s="3"/>
      <c r="E840" s="4"/>
      <c r="F840" s="3"/>
      <c r="G840" s="5"/>
      <c r="H840" s="5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>
      <c r="A841" s="3"/>
      <c r="B841" s="3"/>
      <c r="C841" s="3"/>
      <c r="D841" s="3"/>
      <c r="E841" s="4"/>
      <c r="F841" s="3"/>
      <c r="G841" s="5"/>
      <c r="H841" s="5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>
      <c r="A842" s="3"/>
      <c r="B842" s="3"/>
      <c r="C842" s="3"/>
      <c r="D842" s="3"/>
      <c r="E842" s="4"/>
      <c r="F842" s="3"/>
      <c r="G842" s="5"/>
      <c r="H842" s="5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>
      <c r="A843" s="3"/>
      <c r="B843" s="3"/>
      <c r="C843" s="3"/>
      <c r="D843" s="3"/>
      <c r="E843" s="4"/>
      <c r="F843" s="3"/>
      <c r="G843" s="5"/>
      <c r="H843" s="5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>
      <c r="A844" s="3"/>
      <c r="B844" s="3"/>
      <c r="C844" s="3"/>
      <c r="D844" s="3"/>
      <c r="E844" s="4"/>
      <c r="F844" s="3"/>
      <c r="G844" s="5"/>
      <c r="H844" s="5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>
      <c r="A845" s="3"/>
      <c r="B845" s="3"/>
      <c r="C845" s="3"/>
      <c r="D845" s="3"/>
      <c r="E845" s="4"/>
      <c r="F845" s="3"/>
      <c r="G845" s="5"/>
      <c r="H845" s="5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>
      <c r="A846" s="3"/>
      <c r="B846" s="3"/>
      <c r="C846" s="3"/>
      <c r="D846" s="3"/>
      <c r="E846" s="4"/>
      <c r="F846" s="3"/>
      <c r="G846" s="5"/>
      <c r="H846" s="5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>
      <c r="A847" s="3"/>
      <c r="B847" s="3"/>
      <c r="C847" s="3"/>
      <c r="D847" s="3"/>
      <c r="E847" s="4"/>
      <c r="F847" s="3"/>
      <c r="G847" s="5"/>
      <c r="H847" s="5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>
      <c r="A848" s="3"/>
      <c r="B848" s="3"/>
      <c r="C848" s="3"/>
      <c r="D848" s="3"/>
      <c r="E848" s="4"/>
      <c r="F848" s="3"/>
      <c r="G848" s="5"/>
      <c r="H848" s="5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>
      <c r="A849" s="3"/>
      <c r="B849" s="3"/>
      <c r="C849" s="3"/>
      <c r="D849" s="3"/>
      <c r="E849" s="4"/>
      <c r="F849" s="3"/>
      <c r="G849" s="5"/>
      <c r="H849" s="5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>
      <c r="A850" s="3"/>
      <c r="B850" s="3"/>
      <c r="C850" s="3"/>
      <c r="D850" s="3"/>
      <c r="E850" s="4"/>
      <c r="F850" s="3"/>
      <c r="G850" s="5"/>
      <c r="H850" s="5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>
      <c r="A851" s="3"/>
      <c r="B851" s="3"/>
      <c r="C851" s="3"/>
      <c r="D851" s="3"/>
      <c r="E851" s="4"/>
      <c r="F851" s="3"/>
      <c r="G851" s="5"/>
      <c r="H851" s="5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>
      <c r="A852" s="3"/>
      <c r="B852" s="3"/>
      <c r="C852" s="3"/>
      <c r="D852" s="3"/>
      <c r="E852" s="4"/>
      <c r="F852" s="3"/>
      <c r="G852" s="5"/>
      <c r="H852" s="5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>
      <c r="A853" s="3"/>
      <c r="B853" s="3"/>
      <c r="C853" s="3"/>
      <c r="D853" s="3"/>
      <c r="E853" s="4"/>
      <c r="F853" s="3"/>
      <c r="G853" s="5"/>
      <c r="H853" s="5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>
      <c r="A854" s="3"/>
      <c r="B854" s="3"/>
      <c r="C854" s="3"/>
      <c r="D854" s="3"/>
      <c r="E854" s="4"/>
      <c r="F854" s="3"/>
      <c r="G854" s="5"/>
      <c r="H854" s="5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>
      <c r="A855" s="3"/>
      <c r="B855" s="3"/>
      <c r="C855" s="3"/>
      <c r="D855" s="3"/>
      <c r="E855" s="4"/>
      <c r="F855" s="3"/>
      <c r="G855" s="5"/>
      <c r="H855" s="5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>
      <c r="A856" s="3"/>
      <c r="B856" s="3"/>
      <c r="C856" s="3"/>
      <c r="D856" s="3"/>
      <c r="E856" s="4"/>
      <c r="F856" s="3"/>
      <c r="G856" s="5"/>
      <c r="H856" s="5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>
      <c r="A857" s="3"/>
      <c r="B857" s="3"/>
      <c r="C857" s="3"/>
      <c r="D857" s="3"/>
      <c r="E857" s="4"/>
      <c r="F857" s="3"/>
      <c r="G857" s="5"/>
      <c r="H857" s="5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>
      <c r="A858" s="3"/>
      <c r="B858" s="3"/>
      <c r="C858" s="3"/>
      <c r="D858" s="3"/>
      <c r="E858" s="4"/>
      <c r="F858" s="3"/>
      <c r="G858" s="5"/>
      <c r="H858" s="5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>
      <c r="A859" s="3"/>
      <c r="B859" s="3"/>
      <c r="C859" s="3"/>
      <c r="D859" s="3"/>
      <c r="E859" s="4"/>
      <c r="F859" s="3"/>
      <c r="G859" s="5"/>
      <c r="H859" s="5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>
      <c r="A860" s="3"/>
      <c r="B860" s="3"/>
      <c r="C860" s="3"/>
      <c r="D860" s="3"/>
      <c r="E860" s="4"/>
      <c r="F860" s="3"/>
      <c r="G860" s="5"/>
      <c r="H860" s="5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>
      <c r="A861" s="3"/>
      <c r="B861" s="3"/>
      <c r="C861" s="3"/>
      <c r="D861" s="3"/>
      <c r="E861" s="4"/>
      <c r="F861" s="3"/>
      <c r="G861" s="5"/>
      <c r="H861" s="5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>
      <c r="A862" s="3"/>
      <c r="B862" s="3"/>
      <c r="C862" s="3"/>
      <c r="D862" s="3"/>
      <c r="E862" s="4"/>
      <c r="F862" s="3"/>
      <c r="G862" s="5"/>
      <c r="H862" s="5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>
      <c r="A863" s="3"/>
      <c r="B863" s="3"/>
      <c r="C863" s="3"/>
      <c r="D863" s="3"/>
      <c r="E863" s="4"/>
      <c r="F863" s="3"/>
      <c r="G863" s="5"/>
      <c r="H863" s="5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>
      <c r="A864" s="3"/>
      <c r="B864" s="3"/>
      <c r="C864" s="3"/>
      <c r="D864" s="3"/>
      <c r="E864" s="4"/>
      <c r="F864" s="3"/>
      <c r="G864" s="5"/>
      <c r="H864" s="5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>
      <c r="A865" s="3"/>
      <c r="B865" s="3"/>
      <c r="C865" s="3"/>
      <c r="D865" s="3"/>
      <c r="E865" s="4"/>
      <c r="F865" s="3"/>
      <c r="G865" s="5"/>
      <c r="H865" s="5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>
      <c r="A866" s="3"/>
      <c r="B866" s="3"/>
      <c r="C866" s="3"/>
      <c r="D866" s="3"/>
      <c r="E866" s="4"/>
      <c r="F866" s="3"/>
      <c r="G866" s="5"/>
      <c r="H866" s="5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>
      <c r="A867" s="3"/>
      <c r="B867" s="3"/>
      <c r="C867" s="3"/>
      <c r="D867" s="3"/>
      <c r="E867" s="4"/>
      <c r="F867" s="3"/>
      <c r="G867" s="5"/>
      <c r="H867" s="5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>
      <c r="A868" s="3"/>
      <c r="B868" s="3"/>
      <c r="C868" s="3"/>
      <c r="D868" s="3"/>
      <c r="E868" s="4"/>
      <c r="F868" s="3"/>
      <c r="G868" s="5"/>
      <c r="H868" s="5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>
      <c r="A869" s="3"/>
      <c r="B869" s="3"/>
      <c r="C869" s="3"/>
      <c r="D869" s="3"/>
      <c r="E869" s="4"/>
      <c r="F869" s="3"/>
      <c r="G869" s="5"/>
      <c r="H869" s="5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>
      <c r="A870" s="3"/>
      <c r="B870" s="3"/>
      <c r="C870" s="3"/>
      <c r="D870" s="3"/>
      <c r="E870" s="4"/>
      <c r="F870" s="3"/>
      <c r="G870" s="5"/>
      <c r="H870" s="5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>
      <c r="A871" s="3"/>
      <c r="B871" s="3"/>
      <c r="C871" s="3"/>
      <c r="D871" s="3"/>
      <c r="E871" s="4"/>
      <c r="F871" s="3"/>
      <c r="G871" s="5"/>
      <c r="H871" s="5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>
      <c r="A872" s="3"/>
      <c r="B872" s="3"/>
      <c r="C872" s="3"/>
      <c r="D872" s="3"/>
      <c r="E872" s="4"/>
      <c r="F872" s="3"/>
      <c r="G872" s="5"/>
      <c r="H872" s="5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>
      <c r="A873" s="3"/>
      <c r="B873" s="3"/>
      <c r="C873" s="3"/>
      <c r="D873" s="3"/>
      <c r="E873" s="4"/>
      <c r="F873" s="3"/>
      <c r="G873" s="5"/>
      <c r="H873" s="5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>
      <c r="A874" s="3"/>
      <c r="B874" s="3"/>
      <c r="C874" s="3"/>
      <c r="D874" s="3"/>
      <c r="E874" s="4"/>
      <c r="F874" s="3"/>
      <c r="G874" s="5"/>
      <c r="H874" s="5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>
      <c r="A875" s="3"/>
      <c r="B875" s="3"/>
      <c r="C875" s="3"/>
      <c r="D875" s="3"/>
      <c r="E875" s="4"/>
      <c r="F875" s="3"/>
      <c r="G875" s="5"/>
      <c r="H875" s="5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>
      <c r="A876" s="3"/>
      <c r="B876" s="3"/>
      <c r="C876" s="3"/>
      <c r="D876" s="3"/>
      <c r="E876" s="4"/>
      <c r="F876" s="3"/>
      <c r="G876" s="5"/>
      <c r="H876" s="5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>
      <c r="A877" s="3"/>
      <c r="B877" s="3"/>
      <c r="C877" s="3"/>
      <c r="D877" s="3"/>
      <c r="E877" s="4"/>
      <c r="F877" s="3"/>
      <c r="G877" s="5"/>
      <c r="H877" s="5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>
      <c r="A878" s="3"/>
      <c r="B878" s="3"/>
      <c r="C878" s="3"/>
      <c r="D878" s="3"/>
      <c r="E878" s="4"/>
      <c r="F878" s="3"/>
      <c r="G878" s="5"/>
      <c r="H878" s="5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>
      <c r="A879" s="3"/>
      <c r="B879" s="3"/>
      <c r="C879" s="3"/>
      <c r="D879" s="3"/>
      <c r="E879" s="4"/>
      <c r="F879" s="3"/>
      <c r="G879" s="5"/>
      <c r="H879" s="5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>
      <c r="A880" s="3"/>
      <c r="B880" s="3"/>
      <c r="C880" s="3"/>
      <c r="D880" s="3"/>
      <c r="E880" s="4"/>
      <c r="F880" s="3"/>
      <c r="G880" s="5"/>
      <c r="H880" s="5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>
      <c r="A881" s="3"/>
      <c r="B881" s="3"/>
      <c r="C881" s="3"/>
      <c r="D881" s="3"/>
      <c r="E881" s="4"/>
      <c r="F881" s="3"/>
      <c r="G881" s="5"/>
      <c r="H881" s="5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>
      <c r="A882" s="3"/>
      <c r="B882" s="3"/>
      <c r="C882" s="3"/>
      <c r="D882" s="3"/>
      <c r="E882" s="4"/>
      <c r="F882" s="3"/>
      <c r="G882" s="5"/>
      <c r="H882" s="5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>
      <c r="A883" s="3"/>
      <c r="B883" s="3"/>
      <c r="C883" s="3"/>
      <c r="D883" s="3"/>
      <c r="E883" s="4"/>
      <c r="F883" s="3"/>
      <c r="G883" s="5"/>
      <c r="H883" s="5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>
      <c r="A884" s="3"/>
      <c r="B884" s="3"/>
      <c r="C884" s="3"/>
      <c r="D884" s="3"/>
      <c r="E884" s="4"/>
      <c r="F884" s="3"/>
      <c r="G884" s="5"/>
      <c r="H884" s="5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>
      <c r="A885" s="3"/>
      <c r="B885" s="3"/>
      <c r="C885" s="3"/>
      <c r="D885" s="3"/>
      <c r="E885" s="4"/>
      <c r="F885" s="3"/>
      <c r="G885" s="5"/>
      <c r="H885" s="5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>
      <c r="A886" s="3"/>
      <c r="B886" s="3"/>
      <c r="C886" s="3"/>
      <c r="D886" s="3"/>
      <c r="E886" s="4"/>
      <c r="F886" s="3"/>
      <c r="G886" s="5"/>
      <c r="H886" s="5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>
      <c r="A887" s="3"/>
      <c r="B887" s="3"/>
      <c r="C887" s="3"/>
      <c r="D887" s="3"/>
      <c r="E887" s="4"/>
      <c r="F887" s="3"/>
      <c r="G887" s="5"/>
      <c r="H887" s="5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>
      <c r="A888" s="3"/>
      <c r="B888" s="3"/>
      <c r="C888" s="3"/>
      <c r="D888" s="3"/>
      <c r="E888" s="4"/>
      <c r="F888" s="3"/>
      <c r="G888" s="5"/>
      <c r="H888" s="5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>
      <c r="A889" s="3"/>
      <c r="B889" s="3"/>
      <c r="C889" s="3"/>
      <c r="D889" s="3"/>
      <c r="E889" s="4"/>
      <c r="F889" s="3"/>
      <c r="G889" s="5"/>
      <c r="H889" s="5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>
      <c r="A890" s="3"/>
      <c r="B890" s="3"/>
      <c r="C890" s="3"/>
      <c r="D890" s="3"/>
      <c r="E890" s="4"/>
      <c r="F890" s="3"/>
      <c r="G890" s="5"/>
      <c r="H890" s="5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>
      <c r="A891" s="3"/>
      <c r="B891" s="3"/>
      <c r="C891" s="3"/>
      <c r="D891" s="3"/>
      <c r="E891" s="4"/>
      <c r="F891" s="3"/>
      <c r="G891" s="5"/>
      <c r="H891" s="5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>
      <c r="A892" s="3"/>
      <c r="B892" s="3"/>
      <c r="C892" s="3"/>
      <c r="D892" s="3"/>
      <c r="E892" s="4"/>
      <c r="F892" s="3"/>
      <c r="G892" s="5"/>
      <c r="H892" s="5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>
      <c r="A893" s="3"/>
      <c r="B893" s="3"/>
      <c r="C893" s="3"/>
      <c r="D893" s="3"/>
      <c r="E893" s="4"/>
      <c r="F893" s="3"/>
      <c r="G893" s="5"/>
      <c r="H893" s="5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>
      <c r="A894" s="3"/>
      <c r="B894" s="3"/>
      <c r="C894" s="3"/>
      <c r="D894" s="3"/>
      <c r="E894" s="4"/>
      <c r="F894" s="3"/>
      <c r="G894" s="5"/>
      <c r="H894" s="5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>
      <c r="A895" s="3"/>
      <c r="B895" s="3"/>
      <c r="C895" s="3"/>
      <c r="D895" s="3"/>
      <c r="E895" s="4"/>
      <c r="F895" s="3"/>
      <c r="G895" s="5"/>
      <c r="H895" s="5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>
      <c r="A896" s="3"/>
      <c r="B896" s="3"/>
      <c r="C896" s="3"/>
      <c r="D896" s="3"/>
      <c r="E896" s="4"/>
      <c r="F896" s="3"/>
      <c r="G896" s="5"/>
      <c r="H896" s="5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>
      <c r="A897" s="3"/>
      <c r="B897" s="3"/>
      <c r="C897" s="3"/>
      <c r="D897" s="3"/>
      <c r="E897" s="4"/>
      <c r="F897" s="3"/>
      <c r="G897" s="5"/>
      <c r="H897" s="5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>
      <c r="A898" s="3"/>
      <c r="B898" s="3"/>
      <c r="C898" s="3"/>
      <c r="D898" s="3"/>
      <c r="E898" s="4"/>
      <c r="F898" s="3"/>
      <c r="G898" s="5"/>
      <c r="H898" s="5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>
      <c r="A899" s="3"/>
      <c r="B899" s="3"/>
      <c r="C899" s="3"/>
      <c r="D899" s="3"/>
      <c r="E899" s="4"/>
      <c r="F899" s="3"/>
      <c r="G899" s="5"/>
      <c r="H899" s="5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>
      <c r="A900" s="3"/>
      <c r="B900" s="3"/>
      <c r="C900" s="3"/>
      <c r="D900" s="3"/>
      <c r="E900" s="4"/>
      <c r="F900" s="3"/>
      <c r="G900" s="5"/>
      <c r="H900" s="5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>
      <c r="A901" s="3"/>
      <c r="B901" s="3"/>
      <c r="C901" s="3"/>
      <c r="D901" s="3"/>
      <c r="E901" s="4"/>
      <c r="F901" s="3"/>
      <c r="G901" s="5"/>
      <c r="H901" s="5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>
      <c r="A902" s="3"/>
      <c r="B902" s="3"/>
      <c r="C902" s="3"/>
      <c r="D902" s="3"/>
      <c r="E902" s="4"/>
      <c r="F902" s="3"/>
      <c r="G902" s="5"/>
      <c r="H902" s="5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>
      <c r="A903" s="3"/>
      <c r="B903" s="3"/>
      <c r="C903" s="3"/>
      <c r="D903" s="3"/>
      <c r="E903" s="4"/>
      <c r="F903" s="3"/>
      <c r="G903" s="5"/>
      <c r="H903" s="5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>
      <c r="A904" s="3"/>
      <c r="B904" s="3"/>
      <c r="C904" s="3"/>
      <c r="D904" s="3"/>
      <c r="E904" s="4"/>
      <c r="F904" s="3"/>
      <c r="G904" s="5"/>
      <c r="H904" s="5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>
      <c r="A905" s="3"/>
      <c r="B905" s="3"/>
      <c r="C905" s="3"/>
      <c r="D905" s="3"/>
      <c r="E905" s="4"/>
      <c r="F905" s="3"/>
      <c r="G905" s="5"/>
      <c r="H905" s="5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>
      <c r="A906" s="3"/>
      <c r="B906" s="3"/>
      <c r="C906" s="3"/>
      <c r="D906" s="3"/>
      <c r="E906" s="4"/>
      <c r="F906" s="3"/>
      <c r="G906" s="5"/>
      <c r="H906" s="5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>
      <c r="A907" s="3"/>
      <c r="B907" s="3"/>
      <c r="C907" s="3"/>
      <c r="D907" s="3"/>
      <c r="E907" s="4"/>
      <c r="F907" s="3"/>
      <c r="G907" s="5"/>
      <c r="H907" s="5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>
      <c r="A908" s="3"/>
      <c r="B908" s="3"/>
      <c r="C908" s="3"/>
      <c r="D908" s="3"/>
      <c r="E908" s="4"/>
      <c r="F908" s="3"/>
      <c r="G908" s="5"/>
      <c r="H908" s="5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>
      <c r="A909" s="3"/>
      <c r="B909" s="3"/>
      <c r="C909" s="3"/>
      <c r="D909" s="3"/>
      <c r="E909" s="4"/>
      <c r="F909" s="3"/>
      <c r="G909" s="5"/>
      <c r="H909" s="5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>
      <c r="A910" s="3"/>
      <c r="B910" s="3"/>
      <c r="C910" s="3"/>
      <c r="D910" s="3"/>
      <c r="E910" s="4"/>
      <c r="F910" s="3"/>
      <c r="G910" s="5"/>
      <c r="H910" s="5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>
      <c r="A911" s="3"/>
      <c r="B911" s="3"/>
      <c r="C911" s="3"/>
      <c r="D911" s="3"/>
      <c r="E911" s="4"/>
      <c r="F911" s="3"/>
      <c r="G911" s="5"/>
      <c r="H911" s="5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>
      <c r="A912" s="3"/>
      <c r="B912" s="3"/>
      <c r="C912" s="3"/>
      <c r="D912" s="3"/>
      <c r="E912" s="4"/>
      <c r="F912" s="3"/>
      <c r="G912" s="5"/>
      <c r="H912" s="5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>
      <c r="A913" s="3"/>
      <c r="B913" s="3"/>
      <c r="C913" s="3"/>
      <c r="D913" s="3"/>
      <c r="E913" s="4"/>
      <c r="F913" s="3"/>
      <c r="G913" s="5"/>
      <c r="H913" s="5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>
      <c r="A914" s="3"/>
      <c r="B914" s="3"/>
      <c r="C914" s="3"/>
      <c r="D914" s="3"/>
      <c r="E914" s="4"/>
      <c r="F914" s="3"/>
      <c r="G914" s="5"/>
      <c r="H914" s="5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>
      <c r="A915" s="3"/>
      <c r="B915" s="3"/>
      <c r="C915" s="3"/>
      <c r="D915" s="3"/>
      <c r="E915" s="4"/>
      <c r="F915" s="3"/>
      <c r="G915" s="5"/>
      <c r="H915" s="5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>
      <c r="A916" s="3"/>
      <c r="B916" s="3"/>
      <c r="C916" s="3"/>
      <c r="D916" s="3"/>
      <c r="E916" s="4"/>
      <c r="F916" s="3"/>
      <c r="G916" s="5"/>
      <c r="H916" s="5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>
      <c r="A917" s="3"/>
      <c r="B917" s="3"/>
      <c r="C917" s="3"/>
      <c r="D917" s="3"/>
      <c r="E917" s="4"/>
      <c r="F917" s="3"/>
      <c r="G917" s="5"/>
      <c r="H917" s="5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>
      <c r="A918" s="3"/>
      <c r="B918" s="3"/>
      <c r="C918" s="3"/>
      <c r="D918" s="3"/>
      <c r="E918" s="4"/>
      <c r="F918" s="3"/>
      <c r="G918" s="5"/>
      <c r="H918" s="5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>
      <c r="A919" s="3"/>
      <c r="B919" s="3"/>
      <c r="C919" s="3"/>
      <c r="D919" s="3"/>
      <c r="E919" s="4"/>
      <c r="F919" s="3"/>
      <c r="G919" s="5"/>
      <c r="H919" s="5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>
      <c r="A920" s="3"/>
      <c r="B920" s="3"/>
      <c r="C920" s="3"/>
      <c r="D920" s="3"/>
      <c r="E920" s="4"/>
      <c r="F920" s="3"/>
      <c r="G920" s="5"/>
      <c r="H920" s="5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>
      <c r="A921" s="3"/>
      <c r="B921" s="3"/>
      <c r="C921" s="3"/>
      <c r="D921" s="3"/>
      <c r="E921" s="4"/>
      <c r="F921" s="3"/>
      <c r="G921" s="5"/>
      <c r="H921" s="5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>
      <c r="A922" s="3"/>
      <c r="B922" s="3"/>
      <c r="C922" s="3"/>
      <c r="D922" s="3"/>
      <c r="E922" s="4"/>
      <c r="F922" s="3"/>
      <c r="G922" s="5"/>
      <c r="H922" s="5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>
      <c r="A923" s="3"/>
      <c r="B923" s="3"/>
      <c r="C923" s="3"/>
      <c r="D923" s="3"/>
      <c r="E923" s="4"/>
      <c r="F923" s="3"/>
      <c r="G923" s="5"/>
      <c r="H923" s="5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>
      <c r="A924" s="3"/>
      <c r="B924" s="3"/>
      <c r="C924" s="3"/>
      <c r="D924" s="3"/>
      <c r="E924" s="4"/>
      <c r="F924" s="3"/>
      <c r="G924" s="5"/>
      <c r="H924" s="5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>
      <c r="A925" s="3"/>
      <c r="B925" s="3"/>
      <c r="C925" s="3"/>
      <c r="D925" s="3"/>
      <c r="E925" s="4"/>
      <c r="F925" s="3"/>
      <c r="G925" s="5"/>
      <c r="H925" s="5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>
      <c r="A926" s="3"/>
      <c r="B926" s="3"/>
      <c r="C926" s="3"/>
      <c r="D926" s="3"/>
      <c r="E926" s="4"/>
      <c r="F926" s="3"/>
      <c r="G926" s="5"/>
      <c r="H926" s="5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>
      <c r="A927" s="3"/>
      <c r="B927" s="3"/>
      <c r="C927" s="3"/>
      <c r="D927" s="3"/>
      <c r="E927" s="4"/>
      <c r="F927" s="3"/>
      <c r="G927" s="5"/>
      <c r="H927" s="5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>
      <c r="A928" s="3"/>
      <c r="B928" s="3"/>
      <c r="C928" s="3"/>
      <c r="D928" s="3"/>
      <c r="E928" s="4"/>
      <c r="F928" s="3"/>
      <c r="G928" s="5"/>
      <c r="H928" s="5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>
      <c r="A929" s="3"/>
      <c r="B929" s="3"/>
      <c r="C929" s="3"/>
      <c r="D929" s="3"/>
      <c r="E929" s="4"/>
      <c r="F929" s="3"/>
      <c r="G929" s="5"/>
      <c r="H929" s="5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>
      <c r="A930" s="3"/>
      <c r="B930" s="3"/>
      <c r="C930" s="3"/>
      <c r="D930" s="3"/>
      <c r="E930" s="4"/>
      <c r="F930" s="3"/>
      <c r="G930" s="5"/>
      <c r="H930" s="5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>
      <c r="A931" s="3"/>
      <c r="B931" s="3"/>
      <c r="C931" s="3"/>
      <c r="D931" s="3"/>
      <c r="E931" s="4"/>
      <c r="F931" s="3"/>
      <c r="G931" s="5"/>
      <c r="H931" s="5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>
      <c r="A932" s="3"/>
      <c r="B932" s="3"/>
      <c r="C932" s="3"/>
      <c r="D932" s="3"/>
      <c r="E932" s="4"/>
      <c r="F932" s="3"/>
      <c r="G932" s="5"/>
      <c r="H932" s="5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>
      <c r="A933" s="3"/>
      <c r="B933" s="3"/>
      <c r="C933" s="3"/>
      <c r="D933" s="3"/>
      <c r="E933" s="4"/>
      <c r="F933" s="3"/>
      <c r="G933" s="5"/>
      <c r="H933" s="5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>
      <c r="A934" s="3"/>
      <c r="B934" s="3"/>
      <c r="C934" s="3"/>
      <c r="D934" s="3"/>
      <c r="E934" s="4"/>
      <c r="F934" s="3"/>
      <c r="G934" s="5"/>
      <c r="H934" s="5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>
      <c r="A935" s="3"/>
      <c r="B935" s="3"/>
      <c r="C935" s="3"/>
      <c r="D935" s="3"/>
      <c r="E935" s="4"/>
      <c r="F935" s="3"/>
      <c r="G935" s="5"/>
      <c r="H935" s="5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>
      <c r="A936" s="3"/>
      <c r="B936" s="3"/>
      <c r="C936" s="3"/>
      <c r="D936" s="3"/>
      <c r="E936" s="4"/>
      <c r="F936" s="3"/>
      <c r="G936" s="5"/>
      <c r="H936" s="5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>
      <c r="A937" s="3"/>
      <c r="B937" s="3"/>
      <c r="C937" s="3"/>
      <c r="D937" s="3"/>
      <c r="E937" s="4"/>
      <c r="F937" s="3"/>
      <c r="G937" s="5"/>
      <c r="H937" s="5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>
      <c r="A938" s="3"/>
      <c r="B938" s="3"/>
      <c r="C938" s="3"/>
      <c r="D938" s="3"/>
      <c r="E938" s="4"/>
      <c r="F938" s="3"/>
      <c r="G938" s="5"/>
      <c r="H938" s="5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>
      <c r="A939" s="3"/>
      <c r="B939" s="3"/>
      <c r="C939" s="3"/>
      <c r="D939" s="3"/>
      <c r="E939" s="4"/>
      <c r="F939" s="3"/>
      <c r="G939" s="5"/>
      <c r="H939" s="5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>
      <c r="A940" s="3"/>
      <c r="B940" s="3"/>
      <c r="C940" s="3"/>
      <c r="D940" s="3"/>
      <c r="E940" s="4"/>
      <c r="F940" s="3"/>
      <c r="G940" s="5"/>
      <c r="H940" s="5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>
      <c r="A941" s="3"/>
      <c r="B941" s="3"/>
      <c r="C941" s="3"/>
      <c r="D941" s="3"/>
      <c r="E941" s="4"/>
      <c r="F941" s="3"/>
      <c r="G941" s="5"/>
      <c r="H941" s="5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>
      <c r="A942" s="3"/>
      <c r="B942" s="3"/>
      <c r="C942" s="3"/>
      <c r="D942" s="3"/>
      <c r="E942" s="4"/>
      <c r="F942" s="3"/>
      <c r="G942" s="5"/>
      <c r="H942" s="5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>
      <c r="A943" s="3"/>
      <c r="B943" s="3"/>
      <c r="C943" s="3"/>
      <c r="D943" s="3"/>
      <c r="E943" s="4"/>
      <c r="F943" s="3"/>
      <c r="G943" s="5"/>
      <c r="H943" s="5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>
      <c r="A944" s="3"/>
      <c r="B944" s="3"/>
      <c r="C944" s="3"/>
      <c r="D944" s="3"/>
      <c r="E944" s="4"/>
      <c r="F944" s="3"/>
      <c r="G944" s="5"/>
      <c r="H944" s="5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>
      <c r="A945" s="3"/>
      <c r="B945" s="3"/>
      <c r="C945" s="3"/>
      <c r="D945" s="3"/>
      <c r="E945" s="4"/>
      <c r="F945" s="3"/>
      <c r="G945" s="5"/>
      <c r="H945" s="5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>
      <c r="A946" s="3"/>
      <c r="B946" s="3"/>
      <c r="C946" s="3"/>
      <c r="D946" s="3"/>
      <c r="E946" s="4"/>
      <c r="F946" s="3"/>
      <c r="G946" s="5"/>
      <c r="H946" s="5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>
      <c r="A947" s="3"/>
      <c r="B947" s="3"/>
      <c r="C947" s="3"/>
      <c r="D947" s="3"/>
      <c r="E947" s="4"/>
      <c r="F947" s="3"/>
      <c r="G947" s="5"/>
      <c r="H947" s="5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>
      <c r="A948" s="3"/>
      <c r="B948" s="3"/>
      <c r="C948" s="3"/>
      <c r="D948" s="3"/>
      <c r="E948" s="4"/>
      <c r="F948" s="3"/>
      <c r="G948" s="5"/>
      <c r="H948" s="5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>
      <c r="A949" s="3"/>
      <c r="B949" s="3"/>
      <c r="C949" s="3"/>
      <c r="D949" s="3"/>
      <c r="E949" s="4"/>
      <c r="F949" s="3"/>
      <c r="G949" s="5"/>
      <c r="H949" s="5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>
      <c r="A950" s="3"/>
      <c r="B950" s="3"/>
      <c r="C950" s="3"/>
      <c r="D950" s="3"/>
      <c r="E950" s="4"/>
      <c r="F950" s="3"/>
      <c r="G950" s="5"/>
      <c r="H950" s="5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>
      <c r="A951" s="3"/>
      <c r="B951" s="3"/>
      <c r="C951" s="3"/>
      <c r="D951" s="3"/>
      <c r="E951" s="4"/>
      <c r="F951" s="3"/>
      <c r="G951" s="5"/>
      <c r="H951" s="5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>
      <c r="A952" s="3"/>
      <c r="B952" s="3"/>
      <c r="C952" s="3"/>
      <c r="D952" s="3"/>
      <c r="E952" s="4"/>
      <c r="F952" s="3"/>
      <c r="G952" s="5"/>
      <c r="H952" s="5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>
      <c r="A953" s="3"/>
      <c r="B953" s="3"/>
      <c r="C953" s="3"/>
      <c r="D953" s="3"/>
      <c r="E953" s="4"/>
      <c r="F953" s="3"/>
      <c r="G953" s="5"/>
      <c r="H953" s="5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>
      <c r="A954" s="3"/>
      <c r="B954" s="3"/>
      <c r="C954" s="3"/>
      <c r="D954" s="3"/>
      <c r="E954" s="4"/>
      <c r="F954" s="3"/>
      <c r="G954" s="5"/>
      <c r="H954" s="5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>
      <c r="A955" s="3"/>
      <c r="B955" s="3"/>
      <c r="C955" s="3"/>
      <c r="D955" s="3"/>
      <c r="E955" s="4"/>
      <c r="F955" s="3"/>
      <c r="G955" s="5"/>
      <c r="H955" s="5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>
      <c r="A956" s="3"/>
      <c r="B956" s="3"/>
      <c r="C956" s="3"/>
      <c r="D956" s="3"/>
      <c r="E956" s="4"/>
      <c r="F956" s="3"/>
      <c r="G956" s="5"/>
      <c r="H956" s="5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>
      <c r="A957" s="3"/>
      <c r="B957" s="3"/>
      <c r="C957" s="3"/>
      <c r="D957" s="3"/>
      <c r="E957" s="4"/>
      <c r="F957" s="3"/>
      <c r="G957" s="5"/>
      <c r="H957" s="5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>
      <c r="A958" s="3"/>
      <c r="B958" s="3"/>
      <c r="C958" s="3"/>
      <c r="D958" s="3"/>
      <c r="E958" s="4"/>
      <c r="F958" s="3"/>
      <c r="G958" s="5"/>
      <c r="H958" s="5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>
      <c r="A959" s="3"/>
      <c r="B959" s="3"/>
      <c r="C959" s="3"/>
      <c r="D959" s="3"/>
      <c r="E959" s="4"/>
      <c r="F959" s="3"/>
      <c r="G959" s="5"/>
      <c r="H959" s="5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>
      <c r="A960" s="3"/>
      <c r="B960" s="3"/>
      <c r="C960" s="3"/>
      <c r="D960" s="3"/>
      <c r="E960" s="4"/>
      <c r="F960" s="3"/>
      <c r="G960" s="5"/>
      <c r="H960" s="5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>
      <c r="A961" s="3"/>
      <c r="B961" s="3"/>
      <c r="C961" s="3"/>
      <c r="D961" s="3"/>
      <c r="E961" s="4"/>
      <c r="F961" s="3"/>
      <c r="G961" s="5"/>
      <c r="H961" s="5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>
      <c r="A962" s="3"/>
      <c r="B962" s="3"/>
      <c r="C962" s="3"/>
      <c r="D962" s="3"/>
      <c r="E962" s="4"/>
      <c r="F962" s="3"/>
      <c r="G962" s="5"/>
      <c r="H962" s="5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>
      <c r="A963" s="3"/>
      <c r="B963" s="3"/>
      <c r="C963" s="3"/>
      <c r="D963" s="3"/>
      <c r="E963" s="4"/>
      <c r="F963" s="3"/>
      <c r="G963" s="5"/>
      <c r="H963" s="5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>
      <c r="A964" s="3"/>
      <c r="B964" s="3"/>
      <c r="C964" s="3"/>
      <c r="D964" s="3"/>
      <c r="E964" s="4"/>
      <c r="F964" s="3"/>
      <c r="G964" s="5"/>
      <c r="H964" s="5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>
      <c r="A965" s="3"/>
      <c r="B965" s="3"/>
      <c r="C965" s="3"/>
      <c r="D965" s="3"/>
      <c r="E965" s="4"/>
      <c r="F965" s="3"/>
      <c r="G965" s="5"/>
      <c r="H965" s="5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>
      <c r="A966" s="3"/>
      <c r="B966" s="3"/>
      <c r="C966" s="3"/>
      <c r="D966" s="3"/>
      <c r="E966" s="4"/>
      <c r="F966" s="3"/>
      <c r="G966" s="5"/>
      <c r="H966" s="5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>
      <c r="A967" s="3"/>
      <c r="B967" s="3"/>
      <c r="C967" s="3"/>
      <c r="D967" s="3"/>
      <c r="E967" s="4"/>
      <c r="F967" s="3"/>
      <c r="G967" s="5"/>
      <c r="H967" s="5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>
      <c r="A968" s="3"/>
      <c r="B968" s="3"/>
      <c r="C968" s="3"/>
      <c r="D968" s="3"/>
      <c r="E968" s="4"/>
      <c r="F968" s="3"/>
      <c r="G968" s="5"/>
      <c r="H968" s="5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>
      <c r="A969" s="3"/>
      <c r="B969" s="3"/>
      <c r="C969" s="3"/>
      <c r="D969" s="3"/>
      <c r="E969" s="4"/>
      <c r="F969" s="3"/>
      <c r="G969" s="5"/>
      <c r="H969" s="5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>
      <c r="A970" s="3"/>
      <c r="B970" s="3"/>
      <c r="C970" s="3"/>
      <c r="D970" s="3"/>
      <c r="E970" s="4"/>
      <c r="F970" s="3"/>
      <c r="G970" s="5"/>
      <c r="H970" s="5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>
      <c r="A971" s="3"/>
      <c r="B971" s="3"/>
      <c r="C971" s="3"/>
      <c r="D971" s="3"/>
      <c r="E971" s="4"/>
      <c r="F971" s="3"/>
      <c r="G971" s="5"/>
      <c r="H971" s="5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>
      <c r="A972" s="3"/>
      <c r="B972" s="3"/>
      <c r="C972" s="3"/>
      <c r="D972" s="3"/>
      <c r="E972" s="4"/>
      <c r="F972" s="3"/>
      <c r="G972" s="5"/>
      <c r="H972" s="5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>
      <c r="A973" s="3"/>
      <c r="B973" s="3"/>
      <c r="C973" s="3"/>
      <c r="D973" s="3"/>
      <c r="E973" s="4"/>
      <c r="F973" s="3"/>
      <c r="G973" s="5"/>
      <c r="H973" s="5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>
      <c r="A974" s="3"/>
      <c r="B974" s="3"/>
      <c r="C974" s="3"/>
      <c r="D974" s="3"/>
      <c r="E974" s="4"/>
      <c r="F974" s="3"/>
      <c r="G974" s="5"/>
      <c r="H974" s="5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>
      <c r="A975" s="3"/>
      <c r="B975" s="3"/>
      <c r="C975" s="3"/>
      <c r="D975" s="3"/>
      <c r="E975" s="4"/>
      <c r="F975" s="3"/>
      <c r="G975" s="5"/>
      <c r="H975" s="5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>
      <c r="A976" s="3"/>
      <c r="B976" s="3"/>
      <c r="C976" s="3"/>
      <c r="D976" s="3"/>
      <c r="E976" s="4"/>
      <c r="F976" s="3"/>
      <c r="G976" s="5"/>
      <c r="H976" s="5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>
      <c r="A977" s="3"/>
      <c r="B977" s="3"/>
      <c r="C977" s="3"/>
      <c r="D977" s="3"/>
      <c r="E977" s="4"/>
      <c r="F977" s="3"/>
      <c r="G977" s="5"/>
      <c r="H977" s="5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>
      <c r="A978" s="3"/>
      <c r="B978" s="3"/>
      <c r="C978" s="3"/>
      <c r="D978" s="3"/>
      <c r="E978" s="4"/>
      <c r="F978" s="3"/>
      <c r="G978" s="5"/>
      <c r="H978" s="5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>
      <c r="A979" s="3"/>
      <c r="B979" s="3"/>
      <c r="C979" s="3"/>
      <c r="D979" s="3"/>
      <c r="E979" s="4"/>
      <c r="F979" s="3"/>
      <c r="G979" s="5"/>
      <c r="H979" s="5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>
      <c r="A980" s="3"/>
      <c r="B980" s="3"/>
      <c r="C980" s="3"/>
      <c r="D980" s="3"/>
      <c r="E980" s="4"/>
      <c r="F980" s="3"/>
      <c r="G980" s="5"/>
      <c r="H980" s="5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>
      <c r="A981" s="3"/>
      <c r="B981" s="3"/>
      <c r="C981" s="3"/>
      <c r="D981" s="3"/>
      <c r="E981" s="4"/>
      <c r="F981" s="3"/>
      <c r="G981" s="5"/>
      <c r="H981" s="5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>
      <c r="A982" s="3"/>
      <c r="B982" s="3"/>
      <c r="C982" s="3"/>
      <c r="D982" s="3"/>
      <c r="E982" s="4"/>
      <c r="F982" s="3"/>
      <c r="G982" s="5"/>
      <c r="H982" s="5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>
      <c r="A983" s="3"/>
      <c r="B983" s="3"/>
      <c r="C983" s="3"/>
      <c r="D983" s="3"/>
      <c r="E983" s="4"/>
      <c r="F983" s="3"/>
      <c r="G983" s="5"/>
      <c r="H983" s="5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>
      <c r="A984" s="3"/>
      <c r="B984" s="3"/>
      <c r="C984" s="3"/>
      <c r="D984" s="3"/>
      <c r="E984" s="4"/>
      <c r="F984" s="3"/>
      <c r="G984" s="5"/>
      <c r="H984" s="5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>
      <c r="A985" s="3"/>
      <c r="B985" s="3"/>
      <c r="C985" s="3"/>
      <c r="D985" s="3"/>
      <c r="E985" s="4"/>
      <c r="F985" s="3"/>
      <c r="G985" s="5"/>
      <c r="H985" s="5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>
      <c r="A986" s="3"/>
      <c r="B986" s="3"/>
      <c r="C986" s="3"/>
      <c r="D986" s="3"/>
      <c r="E986" s="4"/>
      <c r="F986" s="3"/>
      <c r="G986" s="5"/>
      <c r="H986" s="5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>
      <c r="A987" s="3"/>
      <c r="B987" s="3"/>
      <c r="C987" s="3"/>
      <c r="D987" s="3"/>
      <c r="E987" s="4"/>
      <c r="F987" s="3"/>
      <c r="G987" s="5"/>
      <c r="H987" s="5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>
      <c r="A988" s="3"/>
      <c r="B988" s="3"/>
      <c r="C988" s="3"/>
      <c r="D988" s="3"/>
      <c r="E988" s="4"/>
      <c r="F988" s="3"/>
      <c r="G988" s="5"/>
      <c r="H988" s="5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>
      <c r="A989" s="3"/>
      <c r="B989" s="3"/>
      <c r="C989" s="3"/>
      <c r="D989" s="3"/>
      <c r="E989" s="4"/>
      <c r="F989" s="3"/>
      <c r="G989" s="5"/>
      <c r="H989" s="5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>
      <c r="A990" s="3"/>
      <c r="B990" s="3"/>
      <c r="C990" s="3"/>
      <c r="D990" s="3"/>
      <c r="E990" s="4"/>
      <c r="F990" s="3"/>
      <c r="G990" s="5"/>
      <c r="H990" s="5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>
      <c r="A991" s="3"/>
      <c r="B991" s="3"/>
      <c r="C991" s="3"/>
      <c r="D991" s="3"/>
      <c r="E991" s="4"/>
      <c r="F991" s="3"/>
      <c r="G991" s="5"/>
      <c r="H991" s="5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>
      <c r="A992" s="3"/>
      <c r="B992" s="3"/>
      <c r="C992" s="3"/>
      <c r="D992" s="3"/>
      <c r="E992" s="4"/>
      <c r="F992" s="3"/>
      <c r="G992" s="5"/>
      <c r="H992" s="5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>
      <c r="A993" s="3"/>
      <c r="B993" s="3"/>
      <c r="C993" s="3"/>
      <c r="D993" s="3"/>
      <c r="E993" s="4"/>
      <c r="F993" s="3"/>
      <c r="G993" s="5"/>
      <c r="H993" s="5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>
      <c r="A994" s="3"/>
      <c r="B994" s="3"/>
      <c r="C994" s="3"/>
      <c r="D994" s="3"/>
      <c r="E994" s="4"/>
      <c r="F994" s="3"/>
      <c r="G994" s="5"/>
      <c r="H994" s="5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>
      <c r="A995" s="3"/>
      <c r="B995" s="3"/>
      <c r="C995" s="3"/>
      <c r="D995" s="3"/>
      <c r="E995" s="4"/>
      <c r="F995" s="3"/>
      <c r="G995" s="5"/>
      <c r="H995" s="5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>
      <c r="A996" s="3"/>
      <c r="B996" s="3"/>
      <c r="C996" s="3"/>
      <c r="D996" s="3"/>
      <c r="E996" s="4"/>
      <c r="F996" s="3"/>
      <c r="G996" s="5"/>
      <c r="H996" s="5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>
      <c r="A997" s="3"/>
      <c r="B997" s="3"/>
      <c r="C997" s="3"/>
      <c r="D997" s="3"/>
      <c r="E997" s="4"/>
      <c r="F997" s="3"/>
      <c r="G997" s="5"/>
      <c r="H997" s="5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>
      <c r="A998" s="3"/>
      <c r="B998" s="3"/>
      <c r="C998" s="3"/>
      <c r="D998" s="3"/>
      <c r="E998" s="4"/>
      <c r="F998" s="3"/>
      <c r="G998" s="5"/>
      <c r="H998" s="5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>
      <c r="A999" s="3"/>
      <c r="B999" s="3"/>
      <c r="C999" s="3"/>
      <c r="D999" s="3"/>
      <c r="E999" s="4"/>
      <c r="F999" s="3"/>
      <c r="G999" s="5"/>
      <c r="H999" s="5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>
      <c r="A1000" s="3"/>
      <c r="B1000" s="3"/>
      <c r="C1000" s="3"/>
      <c r="D1000" s="3"/>
      <c r="E1000" s="4"/>
      <c r="F1000" s="3"/>
      <c r="G1000" s="5"/>
      <c r="H1000" s="5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>
      <c r="A1001" s="3"/>
      <c r="B1001" s="3"/>
      <c r="C1001" s="3"/>
      <c r="D1001" s="3"/>
      <c r="E1001" s="4"/>
      <c r="F1001" s="3"/>
      <c r="G1001" s="5"/>
      <c r="H1001" s="5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>
      <c r="A1002" s="3"/>
      <c r="B1002" s="3"/>
      <c r="C1002" s="3"/>
      <c r="D1002" s="3"/>
      <c r="E1002" s="4"/>
      <c r="F1002" s="3"/>
      <c r="G1002" s="5"/>
      <c r="H1002" s="5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>
      <c r="A1003" s="3"/>
      <c r="B1003" s="3"/>
      <c r="C1003" s="3"/>
      <c r="D1003" s="3"/>
      <c r="E1003" s="4"/>
      <c r="F1003" s="3"/>
      <c r="G1003" s="5"/>
      <c r="H1003" s="5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>
      <c r="A1004" s="3"/>
      <c r="B1004" s="3"/>
      <c r="C1004" s="3"/>
      <c r="D1004" s="3"/>
      <c r="E1004" s="4"/>
      <c r="F1004" s="3"/>
      <c r="G1004" s="5"/>
      <c r="H1004" s="5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>
      <c r="A1005" s="3"/>
      <c r="B1005" s="3"/>
      <c r="C1005" s="3"/>
      <c r="D1005" s="3"/>
      <c r="E1005" s="4"/>
      <c r="F1005" s="3"/>
      <c r="G1005" s="5"/>
      <c r="H1005" s="5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>
      <c r="A1006" s="3"/>
      <c r="B1006" s="3"/>
      <c r="C1006" s="3"/>
      <c r="D1006" s="3"/>
      <c r="E1006" s="4"/>
      <c r="F1006" s="3"/>
      <c r="G1006" s="5"/>
      <c r="H1006" s="5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  <row r="1007">
      <c r="A1007" s="3"/>
      <c r="B1007" s="3"/>
      <c r="C1007" s="3"/>
      <c r="D1007" s="3"/>
      <c r="E1007" s="4"/>
      <c r="F1007" s="3"/>
      <c r="G1007" s="5"/>
      <c r="H1007" s="5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</row>
    <row r="1008">
      <c r="A1008" s="3"/>
      <c r="B1008" s="3"/>
      <c r="C1008" s="3"/>
      <c r="D1008" s="3"/>
      <c r="E1008" s="4"/>
      <c r="F1008" s="3"/>
      <c r="G1008" s="5"/>
      <c r="H1008" s="5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</row>
    <row r="1009">
      <c r="A1009" s="3"/>
      <c r="B1009" s="3"/>
      <c r="C1009" s="3"/>
      <c r="D1009" s="3"/>
      <c r="E1009" s="4"/>
      <c r="F1009" s="3"/>
      <c r="G1009" s="5"/>
      <c r="H1009" s="5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</row>
    <row r="1010">
      <c r="A1010" s="3"/>
      <c r="B1010" s="3"/>
      <c r="C1010" s="3"/>
      <c r="D1010" s="3"/>
      <c r="E1010" s="4"/>
      <c r="F1010" s="3"/>
      <c r="G1010" s="5"/>
      <c r="H1010" s="5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</row>
    <row r="1011">
      <c r="A1011" s="3"/>
      <c r="B1011" s="3"/>
      <c r="C1011" s="3"/>
      <c r="D1011" s="3"/>
      <c r="E1011" s="4"/>
      <c r="F1011" s="3"/>
      <c r="G1011" s="5"/>
      <c r="H1011" s="5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</row>
    <row r="1012">
      <c r="A1012" s="3"/>
      <c r="B1012" s="3"/>
      <c r="C1012" s="3"/>
      <c r="D1012" s="3"/>
      <c r="E1012" s="4"/>
      <c r="F1012" s="3"/>
      <c r="G1012" s="5"/>
      <c r="H1012" s="5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</row>
    <row r="1013">
      <c r="A1013" s="3"/>
      <c r="B1013" s="3"/>
      <c r="C1013" s="3"/>
      <c r="D1013" s="3"/>
      <c r="E1013" s="4"/>
      <c r="F1013" s="3"/>
      <c r="G1013" s="5"/>
      <c r="H1013" s="5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</row>
    <row r="1014">
      <c r="A1014" s="3"/>
      <c r="B1014" s="3"/>
      <c r="C1014" s="3"/>
      <c r="D1014" s="3"/>
      <c r="E1014" s="4"/>
      <c r="F1014" s="3"/>
      <c r="G1014" s="5"/>
      <c r="H1014" s="5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</row>
    <row r="1015">
      <c r="A1015" s="3"/>
      <c r="B1015" s="3"/>
      <c r="C1015" s="3"/>
      <c r="D1015" s="3"/>
      <c r="E1015" s="4"/>
      <c r="F1015" s="3"/>
      <c r="G1015" s="5"/>
      <c r="H1015" s="5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</row>
    <row r="1016">
      <c r="A1016" s="3"/>
      <c r="B1016" s="3"/>
      <c r="C1016" s="3"/>
      <c r="D1016" s="3"/>
      <c r="E1016" s="4"/>
      <c r="F1016" s="3"/>
      <c r="G1016" s="5"/>
      <c r="H1016" s="5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</row>
    <row r="1017">
      <c r="A1017" s="3"/>
      <c r="B1017" s="3"/>
      <c r="C1017" s="3"/>
      <c r="D1017" s="3"/>
      <c r="E1017" s="4"/>
      <c r="F1017" s="3"/>
      <c r="G1017" s="5"/>
      <c r="H1017" s="5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</row>
    <row r="1018">
      <c r="A1018" s="3"/>
      <c r="B1018" s="3"/>
      <c r="C1018" s="3"/>
      <c r="D1018" s="3"/>
      <c r="E1018" s="4"/>
      <c r="F1018" s="3"/>
      <c r="G1018" s="5"/>
      <c r="H1018" s="5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</row>
    <row r="1019">
      <c r="A1019" s="3"/>
      <c r="B1019" s="3"/>
      <c r="C1019" s="3"/>
      <c r="D1019" s="3"/>
      <c r="E1019" s="4"/>
      <c r="F1019" s="3"/>
      <c r="G1019" s="5"/>
      <c r="H1019" s="5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</row>
    <row r="1020">
      <c r="A1020" s="3"/>
      <c r="B1020" s="3"/>
      <c r="C1020" s="3"/>
      <c r="D1020" s="3"/>
      <c r="E1020" s="4"/>
      <c r="F1020" s="3"/>
      <c r="G1020" s="5"/>
      <c r="H1020" s="5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</row>
    <row r="1021">
      <c r="A1021" s="3"/>
      <c r="B1021" s="3"/>
      <c r="C1021" s="3"/>
      <c r="D1021" s="3"/>
      <c r="E1021" s="4"/>
      <c r="F1021" s="3"/>
      <c r="G1021" s="5"/>
      <c r="H1021" s="5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</row>
    <row r="1022">
      <c r="A1022" s="3"/>
      <c r="B1022" s="3"/>
      <c r="C1022" s="3"/>
      <c r="D1022" s="3"/>
      <c r="E1022" s="4"/>
      <c r="F1022" s="3"/>
      <c r="G1022" s="5"/>
      <c r="H1022" s="5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</row>
    <row r="1023">
      <c r="A1023" s="3"/>
      <c r="B1023" s="3"/>
      <c r="C1023" s="3"/>
      <c r="D1023" s="3"/>
      <c r="E1023" s="4"/>
      <c r="F1023" s="3"/>
      <c r="G1023" s="5"/>
      <c r="H1023" s="5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</row>
    <row r="1024">
      <c r="A1024" s="3"/>
      <c r="B1024" s="3"/>
      <c r="C1024" s="3"/>
      <c r="D1024" s="3"/>
      <c r="E1024" s="4"/>
      <c r="F1024" s="3"/>
      <c r="G1024" s="5"/>
      <c r="H1024" s="5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</row>
    <row r="1025">
      <c r="A1025" s="3"/>
      <c r="B1025" s="3"/>
      <c r="C1025" s="3"/>
      <c r="D1025" s="3"/>
      <c r="E1025" s="4"/>
      <c r="F1025" s="3"/>
      <c r="G1025" s="5"/>
      <c r="H1025" s="5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</row>
    <row r="1026">
      <c r="A1026" s="3"/>
      <c r="B1026" s="3"/>
      <c r="C1026" s="3"/>
      <c r="D1026" s="3"/>
      <c r="E1026" s="4"/>
      <c r="F1026" s="3"/>
      <c r="G1026" s="5"/>
      <c r="H1026" s="5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</row>
    <row r="1027">
      <c r="A1027" s="3"/>
      <c r="B1027" s="3"/>
      <c r="C1027" s="3"/>
      <c r="D1027" s="3"/>
      <c r="E1027" s="4"/>
      <c r="F1027" s="3"/>
      <c r="G1027" s="5"/>
      <c r="H1027" s="5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</row>
    <row r="1028">
      <c r="A1028" s="3"/>
      <c r="B1028" s="3"/>
      <c r="C1028" s="3"/>
      <c r="D1028" s="3"/>
      <c r="E1028" s="4"/>
      <c r="F1028" s="3"/>
      <c r="G1028" s="5"/>
      <c r="H1028" s="5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</row>
    <row r="1029">
      <c r="A1029" s="3"/>
      <c r="B1029" s="3"/>
      <c r="C1029" s="3"/>
      <c r="D1029" s="3"/>
      <c r="E1029" s="4"/>
      <c r="F1029" s="3"/>
      <c r="G1029" s="5"/>
      <c r="H1029" s="5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</row>
    <row r="1030">
      <c r="A1030" s="3"/>
      <c r="B1030" s="3"/>
      <c r="C1030" s="3"/>
      <c r="D1030" s="3"/>
      <c r="E1030" s="4"/>
      <c r="F1030" s="3"/>
      <c r="G1030" s="5"/>
      <c r="H1030" s="5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</row>
    <row r="1031">
      <c r="A1031" s="3"/>
      <c r="B1031" s="3"/>
      <c r="C1031" s="3"/>
      <c r="D1031" s="3"/>
      <c r="E1031" s="4"/>
      <c r="F1031" s="3"/>
      <c r="G1031" s="5"/>
      <c r="H1031" s="5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</row>
    <row r="1032">
      <c r="A1032" s="3"/>
      <c r="B1032" s="3"/>
      <c r="C1032" s="3"/>
      <c r="D1032" s="3"/>
      <c r="E1032" s="4"/>
      <c r="F1032" s="3"/>
      <c r="G1032" s="5"/>
      <c r="H1032" s="5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</row>
    <row r="1033">
      <c r="A1033" s="3"/>
      <c r="B1033" s="3"/>
      <c r="C1033" s="3"/>
      <c r="D1033" s="3"/>
      <c r="E1033" s="4"/>
      <c r="F1033" s="3"/>
      <c r="G1033" s="5"/>
      <c r="H1033" s="5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</row>
    <row r="1034">
      <c r="A1034" s="3"/>
      <c r="B1034" s="3"/>
      <c r="C1034" s="3"/>
      <c r="D1034" s="3"/>
      <c r="E1034" s="4"/>
      <c r="F1034" s="3"/>
      <c r="G1034" s="5"/>
      <c r="H1034" s="5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</row>
    <row r="1035">
      <c r="A1035" s="3"/>
      <c r="B1035" s="3"/>
      <c r="C1035" s="3"/>
      <c r="D1035" s="3"/>
      <c r="E1035" s="4"/>
      <c r="F1035" s="3"/>
      <c r="G1035" s="5"/>
      <c r="H1035" s="5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</row>
    <row r="1036">
      <c r="A1036" s="3"/>
      <c r="B1036" s="3"/>
      <c r="C1036" s="3"/>
      <c r="D1036" s="3"/>
      <c r="E1036" s="4"/>
      <c r="F1036" s="3"/>
      <c r="G1036" s="5"/>
      <c r="H1036" s="5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</row>
    <row r="1037">
      <c r="A1037" s="3"/>
      <c r="B1037" s="3"/>
      <c r="C1037" s="3"/>
      <c r="D1037" s="3"/>
      <c r="E1037" s="4"/>
      <c r="F1037" s="3"/>
      <c r="G1037" s="5"/>
      <c r="H1037" s="5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</row>
    <row r="1038">
      <c r="A1038" s="3"/>
      <c r="B1038" s="3"/>
      <c r="C1038" s="3"/>
      <c r="D1038" s="3"/>
      <c r="E1038" s="4"/>
      <c r="F1038" s="3"/>
      <c r="G1038" s="5"/>
      <c r="H1038" s="5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</row>
    <row r="1039">
      <c r="A1039" s="3"/>
      <c r="B1039" s="3"/>
      <c r="C1039" s="3"/>
      <c r="D1039" s="3"/>
      <c r="E1039" s="4"/>
      <c r="F1039" s="3"/>
      <c r="G1039" s="5"/>
      <c r="H1039" s="5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</row>
    <row r="1040">
      <c r="A1040" s="3"/>
      <c r="B1040" s="3"/>
      <c r="C1040" s="3"/>
      <c r="D1040" s="3"/>
      <c r="E1040" s="4"/>
      <c r="F1040" s="3"/>
      <c r="G1040" s="5"/>
      <c r="H1040" s="5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</row>
    <row r="1041">
      <c r="A1041" s="3"/>
      <c r="B1041" s="3"/>
      <c r="C1041" s="3"/>
      <c r="D1041" s="3"/>
      <c r="E1041" s="4"/>
      <c r="F1041" s="3"/>
      <c r="G1041" s="5"/>
      <c r="H1041" s="5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</row>
    <row r="1042">
      <c r="A1042" s="3"/>
      <c r="B1042" s="3"/>
      <c r="C1042" s="3"/>
      <c r="D1042" s="3"/>
      <c r="E1042" s="4"/>
      <c r="F1042" s="3"/>
      <c r="G1042" s="5"/>
      <c r="H1042" s="5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</row>
    <row r="1043">
      <c r="A1043" s="3"/>
      <c r="B1043" s="3"/>
      <c r="C1043" s="3"/>
      <c r="D1043" s="3"/>
      <c r="E1043" s="4"/>
      <c r="F1043" s="3"/>
      <c r="G1043" s="5"/>
      <c r="H1043" s="5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</row>
    <row r="1044">
      <c r="A1044" s="3"/>
      <c r="B1044" s="3"/>
      <c r="C1044" s="3"/>
      <c r="D1044" s="3"/>
      <c r="E1044" s="4"/>
      <c r="F1044" s="3"/>
      <c r="G1044" s="5"/>
      <c r="H1044" s="5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</row>
    <row r="1045">
      <c r="A1045" s="3"/>
      <c r="B1045" s="3"/>
      <c r="C1045" s="3"/>
      <c r="D1045" s="3"/>
      <c r="E1045" s="4"/>
      <c r="F1045" s="3"/>
      <c r="G1045" s="5"/>
      <c r="H1045" s="5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</row>
    <row r="1046">
      <c r="A1046" s="3"/>
      <c r="B1046" s="3"/>
      <c r="C1046" s="3"/>
      <c r="D1046" s="3"/>
      <c r="E1046" s="4"/>
      <c r="F1046" s="3"/>
      <c r="G1046" s="5"/>
      <c r="H1046" s="5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</row>
    <row r="1047">
      <c r="A1047" s="3"/>
      <c r="B1047" s="3"/>
      <c r="C1047" s="3"/>
      <c r="D1047" s="3"/>
      <c r="E1047" s="4"/>
      <c r="F1047" s="3"/>
      <c r="G1047" s="5"/>
      <c r="H1047" s="5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</row>
    <row r="1048">
      <c r="A1048" s="3"/>
      <c r="B1048" s="3"/>
      <c r="C1048" s="3"/>
      <c r="D1048" s="3"/>
      <c r="E1048" s="4"/>
      <c r="F1048" s="3"/>
      <c r="G1048" s="5"/>
      <c r="H1048" s="5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</row>
    <row r="1049">
      <c r="A1049" s="3"/>
      <c r="B1049" s="3"/>
      <c r="C1049" s="3"/>
      <c r="D1049" s="3"/>
      <c r="E1049" s="4"/>
      <c r="F1049" s="3"/>
      <c r="G1049" s="5"/>
      <c r="H1049" s="5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</row>
    <row r="1050">
      <c r="A1050" s="3"/>
      <c r="B1050" s="3"/>
      <c r="C1050" s="3"/>
      <c r="D1050" s="3"/>
      <c r="E1050" s="4"/>
      <c r="F1050" s="3"/>
      <c r="G1050" s="5"/>
      <c r="H1050" s="5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</row>
    <row r="1051">
      <c r="A1051" s="3"/>
      <c r="B1051" s="3"/>
      <c r="C1051" s="3"/>
      <c r="D1051" s="3"/>
      <c r="E1051" s="4"/>
      <c r="F1051" s="3"/>
      <c r="G1051" s="5"/>
      <c r="H1051" s="5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</row>
    <row r="1052">
      <c r="A1052" s="3"/>
      <c r="B1052" s="3"/>
      <c r="C1052" s="3"/>
      <c r="D1052" s="3"/>
      <c r="E1052" s="4"/>
      <c r="F1052" s="3"/>
      <c r="G1052" s="5"/>
      <c r="H1052" s="5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</row>
    <row r="1053">
      <c r="A1053" s="3"/>
      <c r="B1053" s="3"/>
      <c r="C1053" s="3"/>
      <c r="D1053" s="3"/>
      <c r="E1053" s="4"/>
      <c r="F1053" s="3"/>
      <c r="G1053" s="5"/>
      <c r="H1053" s="5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</row>
    <row r="1054">
      <c r="A1054" s="3"/>
      <c r="B1054" s="3"/>
      <c r="C1054" s="3"/>
      <c r="D1054" s="3"/>
      <c r="E1054" s="4"/>
      <c r="F1054" s="3"/>
      <c r="G1054" s="5"/>
      <c r="H1054" s="5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</row>
    <row r="1055">
      <c r="A1055" s="3"/>
      <c r="B1055" s="3"/>
      <c r="C1055" s="3"/>
      <c r="D1055" s="3"/>
      <c r="E1055" s="4"/>
      <c r="F1055" s="3"/>
      <c r="G1055" s="5"/>
      <c r="H1055" s="5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</row>
    <row r="1056">
      <c r="A1056" s="3"/>
      <c r="B1056" s="3"/>
      <c r="C1056" s="3"/>
      <c r="D1056" s="3"/>
      <c r="E1056" s="4"/>
      <c r="F1056" s="3"/>
      <c r="G1056" s="5"/>
      <c r="H1056" s="5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</row>
    <row r="1057">
      <c r="A1057" s="3"/>
      <c r="B1057" s="3"/>
      <c r="C1057" s="3"/>
      <c r="D1057" s="3"/>
      <c r="E1057" s="4"/>
      <c r="F1057" s="3"/>
      <c r="G1057" s="5"/>
      <c r="H1057" s="5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</row>
    <row r="1058">
      <c r="A1058" s="3"/>
      <c r="B1058" s="3"/>
      <c r="C1058" s="3"/>
      <c r="D1058" s="3"/>
      <c r="E1058" s="4"/>
      <c r="F1058" s="3"/>
      <c r="G1058" s="5"/>
      <c r="H1058" s="5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</row>
    <row r="1059">
      <c r="A1059" s="3"/>
      <c r="B1059" s="3"/>
      <c r="C1059" s="3"/>
      <c r="D1059" s="3"/>
      <c r="E1059" s="4"/>
      <c r="F1059" s="3"/>
      <c r="G1059" s="5"/>
      <c r="H1059" s="5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</row>
    <row r="1060">
      <c r="A1060" s="3"/>
      <c r="B1060" s="3"/>
      <c r="C1060" s="3"/>
      <c r="D1060" s="3"/>
      <c r="E1060" s="4"/>
      <c r="F1060" s="3"/>
      <c r="G1060" s="5"/>
      <c r="H1060" s="5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</row>
    <row r="1061">
      <c r="A1061" s="3"/>
      <c r="B1061" s="3"/>
      <c r="C1061" s="3"/>
      <c r="D1061" s="3"/>
      <c r="E1061" s="4"/>
      <c r="F1061" s="3"/>
      <c r="G1061" s="5"/>
      <c r="H1061" s="5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</row>
    <row r="1062">
      <c r="A1062" s="3"/>
      <c r="B1062" s="3"/>
      <c r="C1062" s="3"/>
      <c r="D1062" s="3"/>
      <c r="E1062" s="4"/>
      <c r="F1062" s="3"/>
      <c r="G1062" s="5"/>
      <c r="H1062" s="5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</row>
    <row r="1063">
      <c r="A1063" s="3"/>
      <c r="B1063" s="3"/>
      <c r="C1063" s="3"/>
      <c r="D1063" s="3"/>
      <c r="E1063" s="4"/>
      <c r="F1063" s="3"/>
      <c r="G1063" s="5"/>
      <c r="H1063" s="5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</row>
    <row r="1064">
      <c r="A1064" s="3"/>
      <c r="B1064" s="3"/>
      <c r="C1064" s="3"/>
      <c r="D1064" s="3"/>
      <c r="E1064" s="4"/>
      <c r="F1064" s="3"/>
      <c r="G1064" s="5"/>
      <c r="H1064" s="5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</row>
    <row r="1065">
      <c r="A1065" s="3"/>
      <c r="B1065" s="3"/>
      <c r="C1065" s="3"/>
      <c r="D1065" s="3"/>
      <c r="E1065" s="4"/>
      <c r="F1065" s="3"/>
      <c r="G1065" s="5"/>
      <c r="H1065" s="5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</row>
    <row r="1066">
      <c r="A1066" s="3"/>
      <c r="B1066" s="3"/>
      <c r="C1066" s="3"/>
      <c r="D1066" s="3"/>
      <c r="E1066" s="4"/>
      <c r="F1066" s="3"/>
      <c r="G1066" s="5"/>
      <c r="H1066" s="5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</row>
    <row r="1067">
      <c r="A1067" s="3"/>
      <c r="B1067" s="3"/>
      <c r="C1067" s="3"/>
      <c r="D1067" s="3"/>
      <c r="E1067" s="4"/>
      <c r="F1067" s="3"/>
      <c r="G1067" s="5"/>
      <c r="H1067" s="5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</row>
    <row r="1068">
      <c r="A1068" s="3"/>
      <c r="B1068" s="3"/>
      <c r="C1068" s="3"/>
      <c r="D1068" s="3"/>
      <c r="E1068" s="4"/>
      <c r="F1068" s="3"/>
      <c r="G1068" s="5"/>
      <c r="H1068" s="5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</row>
    <row r="1069">
      <c r="A1069" s="3"/>
      <c r="B1069" s="3"/>
      <c r="C1069" s="3"/>
      <c r="D1069" s="3"/>
      <c r="E1069" s="4"/>
      <c r="F1069" s="3"/>
      <c r="G1069" s="5"/>
      <c r="H1069" s="5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</row>
    <row r="1070">
      <c r="A1070" s="3"/>
      <c r="B1070" s="3"/>
      <c r="C1070" s="3"/>
      <c r="D1070" s="3"/>
      <c r="E1070" s="4"/>
      <c r="F1070" s="3"/>
      <c r="G1070" s="5"/>
      <c r="H1070" s="5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</row>
    <row r="1071">
      <c r="A1071" s="3"/>
      <c r="B1071" s="3"/>
      <c r="C1071" s="3"/>
      <c r="D1071" s="3"/>
      <c r="E1071" s="4"/>
      <c r="F1071" s="3"/>
      <c r="G1071" s="5"/>
      <c r="H1071" s="5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</row>
    <row r="1072">
      <c r="A1072" s="3"/>
      <c r="B1072" s="3"/>
      <c r="C1072" s="3"/>
      <c r="D1072" s="3"/>
      <c r="E1072" s="4"/>
      <c r="F1072" s="3"/>
      <c r="G1072" s="5"/>
      <c r="H1072" s="5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</row>
    <row r="1073">
      <c r="A1073" s="3"/>
      <c r="B1073" s="3"/>
      <c r="C1073" s="3"/>
      <c r="D1073" s="3"/>
      <c r="E1073" s="4"/>
      <c r="F1073" s="3"/>
      <c r="G1073" s="5"/>
      <c r="H1073" s="5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</row>
    <row r="1074">
      <c r="A1074" s="3"/>
      <c r="B1074" s="3"/>
      <c r="C1074" s="3"/>
      <c r="D1074" s="3"/>
      <c r="E1074" s="4"/>
      <c r="F1074" s="3"/>
      <c r="G1074" s="5"/>
      <c r="H1074" s="5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</row>
    <row r="1075">
      <c r="A1075" s="3"/>
      <c r="B1075" s="3"/>
      <c r="C1075" s="3"/>
      <c r="D1075" s="3"/>
      <c r="E1075" s="4"/>
      <c r="F1075" s="3"/>
      <c r="G1075" s="5"/>
      <c r="H1075" s="5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</row>
    <row r="1076">
      <c r="A1076" s="3"/>
      <c r="B1076" s="3"/>
      <c r="C1076" s="3"/>
      <c r="D1076" s="3"/>
      <c r="E1076" s="4"/>
      <c r="F1076" s="3"/>
      <c r="G1076" s="5"/>
      <c r="H1076" s="5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</row>
    <row r="1077">
      <c r="A1077" s="3"/>
      <c r="B1077" s="3"/>
      <c r="C1077" s="3"/>
      <c r="D1077" s="3"/>
      <c r="E1077" s="4"/>
      <c r="F1077" s="3"/>
      <c r="G1077" s="5"/>
      <c r="H1077" s="5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</row>
    <row r="1078">
      <c r="A1078" s="3"/>
      <c r="B1078" s="3"/>
      <c r="C1078" s="3"/>
      <c r="D1078" s="3"/>
      <c r="E1078" s="4"/>
      <c r="F1078" s="3"/>
      <c r="G1078" s="5"/>
      <c r="H1078" s="5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</row>
  </sheetData>
  <mergeCells count="2">
    <mergeCell ref="B1:C1"/>
    <mergeCell ref="E128:F128"/>
  </mergeCells>
  <conditionalFormatting sqref="K19">
    <cfRule type="cellIs" dxfId="0" priority="1" operator="lessThan">
      <formula>0</formula>
    </cfRule>
  </conditionalFormatting>
  <conditionalFormatting sqref="K19">
    <cfRule type="cellIs" dxfId="1" priority="2" operator="greaterThan">
      <formula>0</formula>
    </cfRule>
  </conditionalFormatting>
  <conditionalFormatting sqref="K19">
    <cfRule type="cellIs" dxfId="1" priority="3" operator="greaterThan">
      <formula>0</formula>
    </cfRule>
  </conditionalFormatting>
  <conditionalFormatting sqref="K19">
    <cfRule type="cellIs" dxfId="1" priority="4" operator="greaterThan">
      <formula>0</formula>
    </cfRule>
  </conditionalFormatting>
  <conditionalFormatting sqref="K45:K75">
    <cfRule type="expression" dxfId="0" priority="5">
      <formula>K45&gt;$M$45</formula>
    </cfRule>
  </conditionalFormatting>
  <conditionalFormatting sqref="G5:G127 H22:H23 H26">
    <cfRule type="expression" dxfId="0" priority="6">
      <formula>G5&gt;$M$45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F5:F127">
      <formula1>"🚇 Suica,🍔 Eat Out,🛒 Grocery,🏪 Konbini,💊 Medical,🤩 Friends,🏔️ Leisure,🧴 Beauty,👘 Fashion,📖 Learning"</formula1>
    </dataValidation>
    <dataValidation type="list" allowBlank="1" showErrorMessage="1" sqref="E5:E127">
      <formula1>'26Aug'!$J$45:$J$75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8" max="8" width="3.5"/>
    <col customWidth="1" min="9" max="9" width="19.0"/>
    <col customWidth="1" min="10" max="10" width="11.13"/>
    <col customWidth="1" min="11" max="11" width="9.88"/>
    <col customWidth="1" min="12" max="12" width="16.38"/>
    <col customWidth="1" min="13" max="13" width="12.88"/>
    <col customWidth="1" min="14" max="14" width="10.0"/>
    <col customWidth="1" min="17" max="17" width="14.38"/>
  </cols>
  <sheetData>
    <row r="1">
      <c r="A1" s="1"/>
      <c r="B1" s="2">
        <v>46266.0</v>
      </c>
      <c r="D1" s="3"/>
      <c r="E1" s="3"/>
      <c r="F1" s="3"/>
      <c r="G1" s="5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</row>
    <row r="2">
      <c r="A2" s="3"/>
      <c r="B2" s="3"/>
      <c r="C2" s="3"/>
      <c r="D2" s="3"/>
      <c r="E2" s="4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4"/>
      <c r="R2" s="3"/>
      <c r="S2" s="3"/>
      <c r="T2" s="3"/>
      <c r="U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3"/>
      <c r="I3" s="6" t="s">
        <v>2</v>
      </c>
      <c r="J3" s="3"/>
      <c r="K3" s="3"/>
      <c r="L3" s="85" t="s">
        <v>47</v>
      </c>
      <c r="M3" s="3"/>
      <c r="N3" s="3"/>
      <c r="O3" s="3"/>
      <c r="P3" s="3"/>
      <c r="S3" s="3"/>
      <c r="T3" s="3"/>
      <c r="U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3"/>
      <c r="I4" s="11" t="s">
        <v>7</v>
      </c>
      <c r="J4" s="12">
        <f>C14</f>
        <v>639234</v>
      </c>
      <c r="K4" s="3"/>
      <c r="L4" s="9" t="s">
        <v>3</v>
      </c>
      <c r="M4" s="86" t="s">
        <v>4</v>
      </c>
      <c r="N4" s="3"/>
      <c r="O4" s="3"/>
      <c r="P4" s="3"/>
      <c r="S4" s="3"/>
      <c r="T4" s="3"/>
      <c r="U4" s="3"/>
    </row>
    <row r="5">
      <c r="A5" s="3"/>
      <c r="B5" s="13" t="s">
        <v>8</v>
      </c>
      <c r="C5" s="14">
        <v>639234.0</v>
      </c>
      <c r="D5" s="3"/>
      <c r="E5" s="15">
        <v>46259.0</v>
      </c>
      <c r="F5" s="16" t="s">
        <v>13</v>
      </c>
      <c r="G5" s="17">
        <v>664.0</v>
      </c>
      <c r="H5" s="3"/>
      <c r="I5" s="19" t="s">
        <v>10</v>
      </c>
      <c r="J5" s="20">
        <f>G128+C40+M18</f>
        <v>274238</v>
      </c>
      <c r="K5" s="3"/>
      <c r="L5" s="87" t="s">
        <v>9</v>
      </c>
      <c r="M5" s="23">
        <v>17200.0</v>
      </c>
      <c r="N5" s="3"/>
      <c r="O5" s="3"/>
      <c r="P5" s="3"/>
      <c r="S5" s="3"/>
      <c r="T5" s="3"/>
      <c r="U5" s="3"/>
    </row>
    <row r="6">
      <c r="A6" s="3"/>
      <c r="B6" s="21"/>
      <c r="C6" s="22"/>
      <c r="D6" s="3"/>
      <c r="E6" s="15">
        <v>46259.0</v>
      </c>
      <c r="F6" s="16" t="s">
        <v>13</v>
      </c>
      <c r="G6" s="23">
        <v>280.0</v>
      </c>
      <c r="H6" s="3"/>
      <c r="I6" s="24" t="s">
        <v>12</v>
      </c>
      <c r="J6" s="25">
        <f>J4-J5</f>
        <v>364996</v>
      </c>
      <c r="K6" s="3"/>
      <c r="L6" s="87" t="s">
        <v>41</v>
      </c>
      <c r="M6" s="23">
        <v>8250.0</v>
      </c>
      <c r="N6" s="3"/>
      <c r="O6" s="3"/>
      <c r="P6" s="3"/>
      <c r="S6" s="3"/>
      <c r="T6" s="3"/>
      <c r="U6" s="3"/>
    </row>
    <row r="7">
      <c r="A7" s="3"/>
      <c r="B7" s="21"/>
      <c r="C7" s="26"/>
      <c r="D7" s="3"/>
      <c r="E7" s="15">
        <v>46259.0</v>
      </c>
      <c r="F7" s="16" t="s">
        <v>16</v>
      </c>
      <c r="G7" s="23">
        <v>2702.0</v>
      </c>
      <c r="H7" s="3"/>
      <c r="I7" s="1"/>
      <c r="J7" s="27"/>
      <c r="K7" s="3"/>
      <c r="L7" s="87" t="s">
        <v>28</v>
      </c>
      <c r="M7" s="23">
        <v>29183.0</v>
      </c>
      <c r="N7" s="3"/>
      <c r="O7" s="3"/>
      <c r="P7" s="3"/>
      <c r="S7" s="3"/>
      <c r="T7" s="3"/>
      <c r="U7" s="3"/>
    </row>
    <row r="8">
      <c r="A8" s="3"/>
      <c r="B8" s="21"/>
      <c r="C8" s="26"/>
      <c r="D8" s="3"/>
      <c r="E8" s="15">
        <v>46259.0</v>
      </c>
      <c r="F8" s="16" t="s">
        <v>13</v>
      </c>
      <c r="G8" s="23">
        <v>172.0</v>
      </c>
      <c r="H8" s="3"/>
      <c r="I8" s="6" t="s">
        <v>15</v>
      </c>
      <c r="J8" s="27"/>
      <c r="K8" s="3"/>
      <c r="L8" s="87" t="s">
        <v>9</v>
      </c>
      <c r="M8" s="23">
        <v>8000.0</v>
      </c>
      <c r="N8" s="3"/>
      <c r="O8" s="3"/>
      <c r="P8" s="3"/>
      <c r="S8" s="3"/>
      <c r="T8" s="3"/>
      <c r="U8" s="3"/>
    </row>
    <row r="9">
      <c r="A9" s="3"/>
      <c r="B9" s="21"/>
      <c r="C9" s="26"/>
      <c r="D9" s="3"/>
      <c r="E9" s="15">
        <v>46260.0</v>
      </c>
      <c r="F9" s="16" t="s">
        <v>17</v>
      </c>
      <c r="G9" s="23">
        <v>1000.0</v>
      </c>
      <c r="H9" s="3"/>
      <c r="I9" s="28" t="s">
        <v>18</v>
      </c>
      <c r="J9" s="29">
        <f>EDATE(B1,-1) + 24</f>
        <v>46259</v>
      </c>
      <c r="K9" s="3"/>
      <c r="L9" s="87" t="s">
        <v>14</v>
      </c>
      <c r="M9" s="23">
        <v>2630.0</v>
      </c>
      <c r="N9" s="30"/>
      <c r="O9" s="3"/>
      <c r="P9" s="3"/>
      <c r="S9" s="3"/>
      <c r="T9" s="3"/>
      <c r="U9" s="3"/>
    </row>
    <row r="10">
      <c r="A10" s="3"/>
      <c r="B10" s="21"/>
      <c r="C10" s="26"/>
      <c r="D10" s="3"/>
      <c r="E10" s="15">
        <v>46260.0</v>
      </c>
      <c r="F10" s="16" t="s">
        <v>11</v>
      </c>
      <c r="G10" s="23">
        <v>2360.0</v>
      </c>
      <c r="H10" s="3"/>
      <c r="I10" s="28" t="s">
        <v>19</v>
      </c>
      <c r="J10" s="31">
        <f>EDATE(B1,0) + 23</f>
        <v>46289</v>
      </c>
      <c r="K10" s="3"/>
      <c r="L10" s="87" t="s">
        <v>28</v>
      </c>
      <c r="M10" s="23">
        <v>8010.0</v>
      </c>
      <c r="N10" s="3"/>
      <c r="O10" s="3"/>
      <c r="P10" s="3"/>
      <c r="S10" s="3"/>
      <c r="T10" s="3"/>
      <c r="U10" s="3"/>
    </row>
    <row r="11">
      <c r="A11" s="3"/>
      <c r="B11" s="21"/>
      <c r="C11" s="26"/>
      <c r="D11" s="3"/>
      <c r="E11" s="15">
        <v>46261.0</v>
      </c>
      <c r="F11" s="16" t="s">
        <v>13</v>
      </c>
      <c r="G11" s="23">
        <v>230.0</v>
      </c>
      <c r="H11" s="3"/>
      <c r="I11" s="28" t="s">
        <v>20</v>
      </c>
      <c r="J11" s="31">
        <f>TODAY()</f>
        <v>46324</v>
      </c>
      <c r="K11" s="3"/>
      <c r="L11" s="87"/>
      <c r="M11" s="23"/>
      <c r="N11" s="3"/>
      <c r="O11" s="3"/>
      <c r="P11" s="3"/>
      <c r="S11" s="3"/>
      <c r="T11" s="3"/>
      <c r="U11" s="3"/>
    </row>
    <row r="12">
      <c r="A12" s="3"/>
      <c r="B12" s="21"/>
      <c r="C12" s="26"/>
      <c r="D12" s="3"/>
      <c r="E12" s="15">
        <v>46261.0</v>
      </c>
      <c r="F12" s="16" t="s">
        <v>17</v>
      </c>
      <c r="G12" s="23">
        <v>1000.0</v>
      </c>
      <c r="H12" s="3"/>
      <c r="I12" s="28" t="s">
        <v>21</v>
      </c>
      <c r="J12" s="32">
        <f>IF(AND(J11 &gt;= J9, J11 &lt;= J10), DATEDIF(J11,J10,"D") + 1, 0)</f>
        <v>0</v>
      </c>
      <c r="K12" s="3"/>
      <c r="L12" s="87"/>
      <c r="M12" s="23"/>
      <c r="N12" s="3"/>
      <c r="O12" s="3"/>
      <c r="P12" s="3"/>
      <c r="S12" s="3"/>
      <c r="T12" s="3"/>
      <c r="U12" s="3"/>
    </row>
    <row r="13">
      <c r="A13" s="3"/>
      <c r="B13" s="21"/>
      <c r="C13" s="26"/>
      <c r="D13" s="3"/>
      <c r="E13" s="15">
        <v>46261.0</v>
      </c>
      <c r="F13" s="16" t="s">
        <v>11</v>
      </c>
      <c r="G13" s="23">
        <v>1090.0</v>
      </c>
      <c r="H13" s="3"/>
      <c r="I13" s="33" t="s">
        <v>22</v>
      </c>
      <c r="J13" s="84">
        <v>350000.0</v>
      </c>
      <c r="K13" s="3"/>
      <c r="L13" s="87"/>
      <c r="M13" s="23"/>
      <c r="N13" s="3"/>
      <c r="O13" s="3"/>
      <c r="P13" s="3"/>
      <c r="S13" s="3"/>
      <c r="T13" s="3"/>
      <c r="U13" s="3"/>
    </row>
    <row r="14">
      <c r="A14" s="3"/>
      <c r="B14" s="35" t="s">
        <v>23</v>
      </c>
      <c r="C14" s="36">
        <f>SUM(C5:C13)</f>
        <v>639234</v>
      </c>
      <c r="D14" s="3"/>
      <c r="E14" s="15">
        <v>46261.0</v>
      </c>
      <c r="F14" s="16" t="s">
        <v>13</v>
      </c>
      <c r="G14" s="23">
        <v>850.0</v>
      </c>
      <c r="H14" s="3"/>
      <c r="I14" s="37" t="s">
        <v>24</v>
      </c>
      <c r="J14" s="38">
        <f>J6-J13</f>
        <v>14996</v>
      </c>
      <c r="K14" s="3"/>
      <c r="L14" s="87"/>
      <c r="M14" s="23"/>
      <c r="N14" s="3"/>
      <c r="O14" s="3"/>
      <c r="P14" s="3"/>
      <c r="S14" s="3"/>
      <c r="T14" s="3"/>
      <c r="U14" s="3"/>
    </row>
    <row r="15">
      <c r="A15" s="3"/>
      <c r="B15" s="3"/>
      <c r="C15" s="3"/>
      <c r="D15" s="3"/>
      <c r="E15" s="15">
        <v>46262.0</v>
      </c>
      <c r="F15" s="16" t="s">
        <v>17</v>
      </c>
      <c r="G15" s="23">
        <v>1000.0</v>
      </c>
      <c r="H15" s="3"/>
      <c r="I15" s="39" t="s">
        <v>25</v>
      </c>
      <c r="J15" s="40">
        <f>IF(J12 &gt; 0, J14 / J12, 0)</f>
        <v>0</v>
      </c>
      <c r="K15" s="3"/>
      <c r="L15" s="87"/>
      <c r="M15" s="23"/>
      <c r="N15" s="3"/>
      <c r="O15" s="3"/>
      <c r="P15" s="3"/>
      <c r="S15" s="3"/>
      <c r="T15" s="3"/>
      <c r="U15" s="3"/>
    </row>
    <row r="16">
      <c r="A16" s="3"/>
      <c r="B16" s="6" t="s">
        <v>26</v>
      </c>
      <c r="C16" s="3"/>
      <c r="D16" s="3"/>
      <c r="E16" s="15">
        <v>46262.0</v>
      </c>
      <c r="F16" s="16" t="s">
        <v>11</v>
      </c>
      <c r="G16" s="23">
        <v>800.0</v>
      </c>
      <c r="H16" s="3"/>
      <c r="I16" s="3"/>
      <c r="J16" s="3"/>
      <c r="K16" s="3"/>
      <c r="L16" s="87"/>
      <c r="M16" s="23"/>
      <c r="N16" s="3"/>
      <c r="O16" s="3"/>
      <c r="P16" s="3"/>
      <c r="S16" s="3"/>
      <c r="T16" s="3"/>
      <c r="U16" s="3"/>
    </row>
    <row r="17">
      <c r="A17" s="3"/>
      <c r="B17" s="41" t="s">
        <v>3</v>
      </c>
      <c r="C17" s="41" t="s">
        <v>4</v>
      </c>
      <c r="D17" s="3"/>
      <c r="E17" s="15">
        <v>46262.0</v>
      </c>
      <c r="F17" s="16" t="s">
        <v>11</v>
      </c>
      <c r="G17" s="23">
        <v>320.0</v>
      </c>
      <c r="H17" s="3"/>
      <c r="I17" s="42" t="s">
        <v>27</v>
      </c>
      <c r="J17" s="3"/>
      <c r="K17" s="3"/>
      <c r="L17" s="87"/>
      <c r="M17" s="23"/>
      <c r="N17" s="3"/>
      <c r="O17" s="3"/>
      <c r="P17" s="3"/>
      <c r="S17" s="3"/>
      <c r="T17" s="3"/>
      <c r="U17" s="3"/>
    </row>
    <row r="18">
      <c r="A18" s="3"/>
      <c r="B18" s="43" t="s">
        <v>29</v>
      </c>
      <c r="C18" s="52">
        <v>0.0</v>
      </c>
      <c r="D18" s="3"/>
      <c r="E18" s="15">
        <v>46262.0</v>
      </c>
      <c r="F18" s="16" t="s">
        <v>11</v>
      </c>
      <c r="G18" s="23">
        <v>5368.0</v>
      </c>
      <c r="H18" s="3"/>
      <c r="I18" s="11" t="s">
        <v>30</v>
      </c>
      <c r="J18" s="45">
        <f>SUMIF(E5:E127, TODAY(), G5:G127)</f>
        <v>0</v>
      </c>
      <c r="K18" s="3"/>
      <c r="L18" s="88" t="s">
        <v>23</v>
      </c>
      <c r="M18" s="89">
        <f>SUM(M5:M17)</f>
        <v>73273</v>
      </c>
      <c r="N18" s="3"/>
      <c r="O18" s="3"/>
      <c r="P18" s="3"/>
      <c r="S18" s="3"/>
      <c r="T18" s="3"/>
      <c r="U18" s="3"/>
    </row>
    <row r="19">
      <c r="A19" s="3"/>
      <c r="B19" s="43" t="s">
        <v>31</v>
      </c>
      <c r="C19" s="44">
        <v>50000.0</v>
      </c>
      <c r="D19" s="3"/>
      <c r="E19" s="15">
        <v>46262.0</v>
      </c>
      <c r="F19" s="16" t="s">
        <v>17</v>
      </c>
      <c r="G19" s="23">
        <v>1000.0</v>
      </c>
      <c r="H19" s="3"/>
      <c r="I19" s="46" t="s">
        <v>32</v>
      </c>
      <c r="J19" s="47">
        <f>J15-J18</f>
        <v>0</v>
      </c>
      <c r="K19" s="3"/>
      <c r="L19" s="88" t="s">
        <v>48</v>
      </c>
      <c r="M19" s="89">
        <f>M18/(J10-J9)</f>
        <v>2442.433333</v>
      </c>
      <c r="N19" s="3"/>
      <c r="O19" s="3"/>
      <c r="P19" s="3"/>
      <c r="S19" s="3"/>
      <c r="T19" s="3"/>
      <c r="U19" s="3"/>
    </row>
    <row r="20">
      <c r="A20" s="3"/>
      <c r="B20" s="43" t="s">
        <v>33</v>
      </c>
      <c r="C20" s="52">
        <v>540.0</v>
      </c>
      <c r="D20" s="3"/>
      <c r="E20" s="15">
        <v>46263.0</v>
      </c>
      <c r="F20" s="16" t="s">
        <v>11</v>
      </c>
      <c r="G20" s="23">
        <v>500.0</v>
      </c>
      <c r="H20" s="3"/>
      <c r="I20" s="3"/>
      <c r="J20" s="3"/>
      <c r="K20" s="3"/>
      <c r="L20" s="3"/>
      <c r="M20" s="3"/>
      <c r="N20" s="3"/>
      <c r="O20" s="3"/>
      <c r="P20" s="3"/>
      <c r="S20" s="3"/>
      <c r="T20" s="3"/>
      <c r="U20" s="3"/>
    </row>
    <row r="21">
      <c r="A21" s="3"/>
      <c r="B21" s="43" t="s">
        <v>34</v>
      </c>
      <c r="C21" s="44">
        <v>2700.0</v>
      </c>
      <c r="D21" s="3"/>
      <c r="E21" s="15">
        <v>46263.0</v>
      </c>
      <c r="F21" s="16" t="s">
        <v>13</v>
      </c>
      <c r="G21" s="23">
        <v>270.0</v>
      </c>
      <c r="H21" s="3"/>
      <c r="I21" s="3"/>
      <c r="J21" s="3"/>
      <c r="K21" s="3"/>
      <c r="L21" s="3"/>
      <c r="M21" s="3"/>
      <c r="N21" s="3"/>
      <c r="O21" s="3"/>
      <c r="P21" s="3"/>
      <c r="S21" s="3"/>
      <c r="T21" s="3"/>
      <c r="U21" s="3"/>
    </row>
    <row r="22">
      <c r="A22" s="3"/>
      <c r="B22" s="43" t="s">
        <v>35</v>
      </c>
      <c r="C22" s="52">
        <v>0.0</v>
      </c>
      <c r="D22" s="3"/>
      <c r="E22" s="15">
        <v>46263.0</v>
      </c>
      <c r="F22" s="16" t="s">
        <v>11</v>
      </c>
      <c r="G22" s="23">
        <v>3900.0</v>
      </c>
      <c r="H22" s="3"/>
      <c r="I22" s="3"/>
      <c r="J22" s="3"/>
      <c r="K22" s="3"/>
      <c r="L22" s="3"/>
      <c r="M22" s="3"/>
      <c r="N22" s="3"/>
      <c r="O22" s="3"/>
      <c r="P22" s="3"/>
      <c r="Q22" s="4"/>
      <c r="R22" s="3"/>
      <c r="S22" s="3"/>
      <c r="T22" s="3"/>
      <c r="U22" s="3"/>
    </row>
    <row r="23">
      <c r="A23" s="3"/>
      <c r="B23" s="48" t="s">
        <v>36</v>
      </c>
      <c r="C23" s="49">
        <v>1280.0</v>
      </c>
      <c r="D23" s="3"/>
      <c r="E23" s="50">
        <v>46264.0</v>
      </c>
      <c r="F23" s="16" t="s">
        <v>13</v>
      </c>
      <c r="G23" s="23">
        <v>543.0</v>
      </c>
      <c r="H23" s="3"/>
      <c r="I23" s="3"/>
      <c r="J23" s="3"/>
      <c r="K23" s="3"/>
      <c r="L23" s="3"/>
      <c r="M23" s="3"/>
      <c r="N23" s="3"/>
      <c r="O23" s="3"/>
      <c r="P23" s="3"/>
      <c r="Q23" s="4"/>
      <c r="R23" s="3"/>
      <c r="S23" s="3"/>
      <c r="T23" s="3"/>
      <c r="U23" s="3"/>
    </row>
    <row r="24">
      <c r="A24" s="3"/>
      <c r="B24" s="51" t="s">
        <v>37</v>
      </c>
      <c r="C24" s="52">
        <v>13127.0</v>
      </c>
      <c r="D24" s="3"/>
      <c r="E24" s="15">
        <v>46264.0</v>
      </c>
      <c r="F24" s="16" t="s">
        <v>17</v>
      </c>
      <c r="G24" s="23">
        <v>1000.0</v>
      </c>
      <c r="H24" s="3"/>
      <c r="I24" s="3"/>
      <c r="J24" s="3"/>
      <c r="K24" s="3"/>
      <c r="L24" s="3"/>
      <c r="M24" s="3"/>
      <c r="N24" s="3"/>
      <c r="O24" s="3"/>
      <c r="P24" s="3"/>
      <c r="Q24" s="4"/>
      <c r="R24" s="3"/>
      <c r="S24" s="3"/>
      <c r="T24" s="3"/>
      <c r="U24" s="3"/>
    </row>
    <row r="25">
      <c r="A25" s="3"/>
      <c r="B25" s="51" t="s">
        <v>38</v>
      </c>
      <c r="C25" s="52">
        <v>2680.0</v>
      </c>
      <c r="D25" s="3"/>
      <c r="E25" s="15">
        <v>46264.0</v>
      </c>
      <c r="F25" s="16" t="s">
        <v>40</v>
      </c>
      <c r="G25" s="53">
        <v>3300.0</v>
      </c>
      <c r="H25" s="3"/>
      <c r="I25" s="3"/>
      <c r="J25" s="3"/>
      <c r="K25" s="3"/>
      <c r="L25" s="3"/>
      <c r="M25" s="3"/>
      <c r="N25" s="3"/>
      <c r="O25" s="3"/>
      <c r="P25" s="3"/>
      <c r="Q25" s="4"/>
      <c r="R25" s="3"/>
      <c r="S25" s="3"/>
      <c r="T25" s="3"/>
      <c r="U25" s="3"/>
    </row>
    <row r="26">
      <c r="A26" s="3"/>
      <c r="B26" s="48" t="s">
        <v>39</v>
      </c>
      <c r="C26" s="54">
        <v>2000.0</v>
      </c>
      <c r="D26" s="3"/>
      <c r="E26" s="15">
        <v>46264.0</v>
      </c>
      <c r="F26" s="16" t="s">
        <v>28</v>
      </c>
      <c r="G26" s="23">
        <v>4840.0</v>
      </c>
      <c r="H26" s="3"/>
      <c r="I26" s="3"/>
      <c r="J26" s="3"/>
      <c r="K26" s="3"/>
      <c r="L26" s="3"/>
      <c r="M26" s="3"/>
      <c r="N26" s="3"/>
      <c r="O26" s="3"/>
      <c r="P26" s="3"/>
      <c r="Q26" s="4"/>
      <c r="R26" s="3"/>
      <c r="S26" s="3"/>
      <c r="T26" s="3"/>
      <c r="U26" s="3"/>
    </row>
    <row r="27">
      <c r="A27" s="3"/>
      <c r="B27" s="55"/>
      <c r="C27" s="56"/>
      <c r="D27" s="3"/>
      <c r="E27" s="15">
        <v>46264.0</v>
      </c>
      <c r="F27" s="16" t="s">
        <v>13</v>
      </c>
      <c r="G27" s="23">
        <v>280.0</v>
      </c>
      <c r="H27" s="3"/>
      <c r="I27" s="3"/>
      <c r="J27" s="3"/>
      <c r="K27" s="3"/>
      <c r="L27" s="3"/>
      <c r="M27" s="3"/>
      <c r="N27" s="3"/>
      <c r="O27" s="3"/>
      <c r="P27" s="3"/>
      <c r="Q27" s="4"/>
      <c r="R27" s="3"/>
      <c r="S27" s="3"/>
      <c r="T27" s="3"/>
      <c r="U27" s="3"/>
    </row>
    <row r="28">
      <c r="A28" s="3"/>
      <c r="B28" s="43"/>
      <c r="C28" s="57"/>
      <c r="D28" s="3"/>
      <c r="E28" s="15">
        <v>46264.0</v>
      </c>
      <c r="F28" s="16" t="s">
        <v>13</v>
      </c>
      <c r="G28" s="23">
        <v>806.0</v>
      </c>
      <c r="H28" s="3"/>
      <c r="I28" s="3"/>
      <c r="J28" s="3"/>
      <c r="K28" s="3"/>
      <c r="L28" s="3"/>
      <c r="M28" s="3"/>
      <c r="N28" s="3"/>
      <c r="O28" s="3"/>
      <c r="P28" s="3"/>
      <c r="Q28" s="4"/>
      <c r="R28" s="3"/>
      <c r="S28" s="3"/>
      <c r="T28" s="3"/>
      <c r="U28" s="3"/>
    </row>
    <row r="29">
      <c r="A29" s="3"/>
      <c r="B29" s="43"/>
      <c r="C29" s="57"/>
      <c r="D29" s="3"/>
      <c r="E29" s="15">
        <v>46264.0</v>
      </c>
      <c r="F29" s="16" t="s">
        <v>17</v>
      </c>
      <c r="G29" s="23">
        <v>1000.0</v>
      </c>
      <c r="H29" s="3"/>
      <c r="I29" s="3"/>
      <c r="J29" s="3"/>
      <c r="K29" s="3"/>
      <c r="L29" s="3"/>
      <c r="M29" s="3"/>
      <c r="N29" s="3"/>
      <c r="O29" s="3"/>
      <c r="P29" s="3"/>
      <c r="Q29" s="4"/>
      <c r="R29" s="3"/>
      <c r="S29" s="3"/>
      <c r="T29" s="3"/>
      <c r="U29" s="3"/>
    </row>
    <row r="30">
      <c r="A30" s="3"/>
      <c r="B30" s="43"/>
      <c r="C30" s="57"/>
      <c r="D30" s="3"/>
      <c r="E30" s="15">
        <v>46265.0</v>
      </c>
      <c r="F30" s="16" t="s">
        <v>13</v>
      </c>
      <c r="G30" s="23">
        <v>367.0</v>
      </c>
      <c r="H30" s="3"/>
      <c r="I30" s="3"/>
      <c r="J30" s="3"/>
      <c r="K30" s="3"/>
      <c r="L30" s="3"/>
      <c r="M30" s="3"/>
      <c r="N30" s="3"/>
      <c r="O30" s="3"/>
      <c r="P30" s="3"/>
      <c r="Q30" s="4"/>
      <c r="R30" s="3"/>
      <c r="S30" s="3"/>
      <c r="T30" s="3"/>
      <c r="U30" s="3"/>
    </row>
    <row r="31">
      <c r="A31" s="3"/>
      <c r="B31" s="43"/>
      <c r="C31" s="57"/>
      <c r="D31" s="3"/>
      <c r="E31" s="15">
        <v>46265.0</v>
      </c>
      <c r="F31" s="16" t="s">
        <v>11</v>
      </c>
      <c r="G31" s="23">
        <v>1420.0</v>
      </c>
      <c r="H31" s="3"/>
      <c r="I31" s="3"/>
      <c r="J31" s="3"/>
      <c r="K31" s="3"/>
      <c r="L31" s="3"/>
      <c r="M31" s="3"/>
      <c r="N31" s="3"/>
      <c r="O31" s="3"/>
      <c r="P31" s="3"/>
      <c r="Q31" s="4"/>
      <c r="R31" s="3"/>
      <c r="S31" s="3"/>
      <c r="T31" s="3"/>
      <c r="U31" s="3"/>
    </row>
    <row r="32">
      <c r="A32" s="3"/>
      <c r="B32" s="43"/>
      <c r="C32" s="57"/>
      <c r="D32" s="3"/>
      <c r="E32" s="15">
        <v>46265.0</v>
      </c>
      <c r="F32" s="16" t="s">
        <v>13</v>
      </c>
      <c r="G32" s="23">
        <v>630.0</v>
      </c>
      <c r="H32" s="3"/>
      <c r="I32" s="3"/>
      <c r="J32" s="3"/>
      <c r="K32" s="3"/>
      <c r="L32" s="3"/>
      <c r="M32" s="3"/>
      <c r="N32" s="3"/>
      <c r="O32" s="3"/>
      <c r="P32" s="3"/>
      <c r="Q32" s="4"/>
      <c r="R32" s="3"/>
      <c r="S32" s="3"/>
      <c r="T32" s="3"/>
      <c r="U32" s="3"/>
    </row>
    <row r="33">
      <c r="A33" s="3"/>
      <c r="B33" s="43"/>
      <c r="C33" s="57"/>
      <c r="D33" s="3"/>
      <c r="E33" s="15">
        <v>46265.0</v>
      </c>
      <c r="F33" s="16" t="s">
        <v>16</v>
      </c>
      <c r="G33" s="23">
        <v>4310.0</v>
      </c>
      <c r="H33" s="3"/>
      <c r="I33" s="3"/>
      <c r="J33" s="3"/>
      <c r="K33" s="3"/>
      <c r="L33" s="3"/>
      <c r="M33" s="3"/>
      <c r="N33" s="3"/>
      <c r="O33" s="3"/>
      <c r="P33" s="3"/>
      <c r="Q33" s="4"/>
      <c r="R33" s="3"/>
      <c r="S33" s="3"/>
      <c r="T33" s="3"/>
      <c r="U33" s="3"/>
    </row>
    <row r="34">
      <c r="A34" s="3"/>
      <c r="B34" s="43"/>
      <c r="C34" s="57"/>
      <c r="D34" s="3"/>
      <c r="E34" s="15">
        <v>46266.0</v>
      </c>
      <c r="F34" s="16" t="s">
        <v>13</v>
      </c>
      <c r="G34" s="23">
        <v>288.0</v>
      </c>
      <c r="H34" s="3"/>
      <c r="I34" s="3"/>
      <c r="J34" s="3"/>
      <c r="K34" s="3"/>
      <c r="L34" s="3"/>
      <c r="M34" s="3"/>
      <c r="N34" s="3"/>
      <c r="O34" s="3"/>
      <c r="P34" s="3"/>
      <c r="Q34" s="4"/>
      <c r="R34" s="3"/>
      <c r="S34" s="3"/>
      <c r="T34" s="3"/>
      <c r="U34" s="3"/>
    </row>
    <row r="35">
      <c r="A35" s="3"/>
      <c r="B35" s="43"/>
      <c r="C35" s="57"/>
      <c r="D35" s="3"/>
      <c r="E35" s="15">
        <v>46266.0</v>
      </c>
      <c r="F35" s="16" t="s">
        <v>11</v>
      </c>
      <c r="G35" s="23">
        <v>2420.0</v>
      </c>
      <c r="H35" s="3"/>
      <c r="I35" s="3"/>
      <c r="J35" s="3"/>
      <c r="K35" s="3"/>
      <c r="L35" s="3"/>
      <c r="M35" s="3"/>
      <c r="N35" s="3"/>
      <c r="O35" s="3"/>
      <c r="P35" s="3"/>
      <c r="Q35" s="4"/>
      <c r="R35" s="3"/>
      <c r="S35" s="3"/>
      <c r="T35" s="3"/>
      <c r="U35" s="3"/>
    </row>
    <row r="36">
      <c r="A36" s="3"/>
      <c r="B36" s="43"/>
      <c r="C36" s="57"/>
      <c r="D36" s="3"/>
      <c r="E36" s="15">
        <v>46267.0</v>
      </c>
      <c r="F36" s="16" t="s">
        <v>11</v>
      </c>
      <c r="G36" s="23">
        <v>2130.0</v>
      </c>
      <c r="H36" s="3"/>
      <c r="I36" s="3"/>
      <c r="J36" s="3"/>
      <c r="K36" s="3"/>
      <c r="L36" s="3"/>
      <c r="M36" s="58"/>
      <c r="N36" s="58"/>
      <c r="O36" s="3"/>
      <c r="P36" s="3"/>
      <c r="Q36" s="4"/>
      <c r="R36" s="3"/>
      <c r="S36" s="3"/>
      <c r="T36" s="3"/>
      <c r="U36" s="3"/>
    </row>
    <row r="37">
      <c r="A37" s="3"/>
      <c r="B37" s="43"/>
      <c r="C37" s="57"/>
      <c r="D37" s="3"/>
      <c r="E37" s="15">
        <v>46267.0</v>
      </c>
      <c r="F37" s="16" t="s">
        <v>17</v>
      </c>
      <c r="G37" s="23">
        <v>1000.0</v>
      </c>
      <c r="H37" s="3"/>
      <c r="I37" s="3"/>
      <c r="J37" s="3"/>
      <c r="K37" s="3"/>
      <c r="L37" s="3"/>
      <c r="M37" s="3"/>
      <c r="N37" s="3"/>
      <c r="O37" s="3"/>
      <c r="P37" s="3"/>
      <c r="Q37" s="4"/>
      <c r="R37" s="3"/>
      <c r="S37" s="3"/>
      <c r="T37" s="3"/>
      <c r="U37" s="3"/>
    </row>
    <row r="38">
      <c r="A38" s="3"/>
      <c r="B38" s="43"/>
      <c r="C38" s="57"/>
      <c r="D38" s="3"/>
      <c r="E38" s="15">
        <v>46267.0</v>
      </c>
      <c r="F38" s="16" t="s">
        <v>11</v>
      </c>
      <c r="G38" s="23">
        <v>1271.0</v>
      </c>
      <c r="H38" s="3"/>
      <c r="I38" s="3"/>
      <c r="J38" s="3"/>
      <c r="K38" s="3"/>
      <c r="L38" s="3"/>
      <c r="M38" s="3"/>
      <c r="N38" s="3"/>
      <c r="O38" s="3"/>
      <c r="P38" s="3"/>
      <c r="Q38" s="4"/>
      <c r="R38" s="3"/>
      <c r="S38" s="3"/>
      <c r="T38" s="3"/>
      <c r="U38" s="3"/>
    </row>
    <row r="39">
      <c r="A39" s="3"/>
      <c r="B39" s="43"/>
      <c r="C39" s="57"/>
      <c r="D39" s="3"/>
      <c r="E39" s="15">
        <v>46268.0</v>
      </c>
      <c r="F39" s="16" t="s">
        <v>13</v>
      </c>
      <c r="G39" s="23">
        <v>230.0</v>
      </c>
      <c r="H39" s="3"/>
      <c r="I39" s="3"/>
      <c r="J39" s="3"/>
      <c r="K39" s="3"/>
      <c r="L39" s="3"/>
      <c r="M39" s="3"/>
      <c r="N39" s="3"/>
      <c r="O39" s="3"/>
      <c r="P39" s="3"/>
      <c r="Q39" s="4"/>
      <c r="R39" s="3"/>
      <c r="S39" s="3"/>
      <c r="T39" s="3"/>
      <c r="U39" s="3"/>
    </row>
    <row r="40">
      <c r="A40" s="3"/>
      <c r="B40" s="59" t="s">
        <v>23</v>
      </c>
      <c r="C40" s="60">
        <f>SUM(C18:C39)</f>
        <v>72327</v>
      </c>
      <c r="D40" s="3"/>
      <c r="E40" s="15">
        <v>46268.0</v>
      </c>
      <c r="F40" s="16" t="s">
        <v>13</v>
      </c>
      <c r="G40" s="23">
        <v>496.0</v>
      </c>
      <c r="H40" s="3"/>
      <c r="I40" s="3"/>
      <c r="J40" s="3"/>
      <c r="K40" s="3"/>
      <c r="L40" s="3"/>
      <c r="M40" s="3"/>
      <c r="N40" s="3"/>
      <c r="O40" s="3"/>
      <c r="P40" s="3"/>
      <c r="Q40" s="4"/>
      <c r="R40" s="3"/>
      <c r="S40" s="3"/>
      <c r="T40" s="3"/>
      <c r="U40" s="3"/>
    </row>
    <row r="41">
      <c r="A41" s="3"/>
      <c r="B41" s="61"/>
      <c r="C41" s="61"/>
      <c r="D41" s="3"/>
      <c r="E41" s="15">
        <v>46268.0</v>
      </c>
      <c r="F41" s="16" t="s">
        <v>16</v>
      </c>
      <c r="G41" s="23">
        <v>4588.0</v>
      </c>
      <c r="H41" s="3"/>
      <c r="I41" s="3"/>
      <c r="J41" s="3"/>
      <c r="K41" s="3"/>
      <c r="L41" s="3"/>
      <c r="M41" s="3"/>
      <c r="N41" s="3"/>
      <c r="O41" s="3"/>
      <c r="P41" s="3"/>
      <c r="Q41" s="4"/>
      <c r="R41" s="3"/>
      <c r="S41" s="3"/>
      <c r="T41" s="3"/>
      <c r="U41" s="3"/>
    </row>
    <row r="42">
      <c r="A42" s="3"/>
      <c r="B42" s="62"/>
      <c r="C42" s="62"/>
      <c r="D42" s="3"/>
      <c r="E42" s="15">
        <v>46269.0</v>
      </c>
      <c r="F42" s="16" t="s">
        <v>17</v>
      </c>
      <c r="G42" s="23">
        <v>1000.0</v>
      </c>
      <c r="H42" s="3"/>
      <c r="I42" s="3"/>
      <c r="J42" s="3"/>
      <c r="K42" s="3"/>
      <c r="L42" s="3"/>
      <c r="M42" s="3"/>
      <c r="N42" s="3"/>
      <c r="O42" s="3"/>
      <c r="P42" s="3"/>
      <c r="Q42" s="4"/>
      <c r="R42" s="3"/>
      <c r="S42" s="3"/>
      <c r="T42" s="3"/>
      <c r="U42" s="3"/>
    </row>
    <row r="43">
      <c r="A43" s="3"/>
      <c r="B43" s="3"/>
      <c r="C43" s="3"/>
      <c r="D43" s="3"/>
      <c r="E43" s="15">
        <v>46269.0</v>
      </c>
      <c r="F43" s="16" t="s">
        <v>11</v>
      </c>
      <c r="G43" s="23">
        <v>1330.0</v>
      </c>
      <c r="H43" s="3"/>
      <c r="I43" s="63" t="s">
        <v>42</v>
      </c>
      <c r="J43" s="3"/>
      <c r="K43" s="3"/>
      <c r="L43" s="3"/>
      <c r="M43" s="3"/>
      <c r="N43" s="3"/>
      <c r="O43" s="3"/>
      <c r="P43" s="3"/>
      <c r="Q43" s="4"/>
      <c r="R43" s="3"/>
      <c r="S43" s="3"/>
      <c r="T43" s="3"/>
      <c r="U43" s="3"/>
    </row>
    <row r="44">
      <c r="A44" s="3"/>
      <c r="B44" s="3"/>
      <c r="C44" s="3"/>
      <c r="D44" s="3"/>
      <c r="E44" s="15">
        <v>46269.0</v>
      </c>
      <c r="F44" s="16" t="s">
        <v>13</v>
      </c>
      <c r="G44" s="23">
        <v>446.0</v>
      </c>
      <c r="H44" s="3"/>
      <c r="I44" s="9" t="s">
        <v>5</v>
      </c>
      <c r="J44" s="10" t="s">
        <v>43</v>
      </c>
      <c r="K44" s="64" t="s">
        <v>44</v>
      </c>
      <c r="L44" s="65" t="s">
        <v>45</v>
      </c>
      <c r="M44" s="66" t="s">
        <v>46</v>
      </c>
      <c r="N44" s="67" t="s">
        <v>20</v>
      </c>
      <c r="O44" s="3"/>
      <c r="P44" s="68"/>
      <c r="Q44" s="4"/>
      <c r="R44" s="3"/>
      <c r="S44" s="3"/>
      <c r="T44" s="3"/>
      <c r="U44" s="3"/>
    </row>
    <row r="45">
      <c r="A45" s="3"/>
      <c r="B45" s="3"/>
      <c r="C45" s="3"/>
      <c r="D45" s="3"/>
      <c r="E45" s="15">
        <v>46270.0</v>
      </c>
      <c r="F45" s="16" t="s">
        <v>14</v>
      </c>
      <c r="G45" s="23">
        <v>1040.0</v>
      </c>
      <c r="H45" s="3"/>
      <c r="I45" s="69">
        <f>EDATE(B1,-1) + 24 + 0</f>
        <v>46259</v>
      </c>
      <c r="J45" s="70">
        <f t="shared" ref="J45:J75" si="1">SUMIF(E5:E127,I45,G5:G127) + $M$19</f>
        <v>6260.433333</v>
      </c>
      <c r="K45" s="71">
        <f>J45</f>
        <v>6260.433333</v>
      </c>
      <c r="L45" s="72">
        <f>(J4-C40-J13)/(J10-J9+1)</f>
        <v>6997</v>
      </c>
      <c r="M45" s="73" t="str">
        <f t="shared" ref="M45:M75" si="2">IF(I45=TODAY(), L45-K45, NA())</f>
        <v>#N/A</v>
      </c>
      <c r="N45" s="74" t="str">
        <f t="shared" ref="N45:N75" si="3">IF(I45=TODAY(), K45, NA())</f>
        <v>#N/A</v>
      </c>
      <c r="O45" s="3"/>
      <c r="P45" s="68"/>
      <c r="Q45" s="4"/>
      <c r="R45" s="3"/>
      <c r="S45" s="3"/>
      <c r="T45" s="3"/>
      <c r="U45" s="3"/>
    </row>
    <row r="46">
      <c r="A46" s="3"/>
      <c r="B46" s="3"/>
      <c r="C46" s="3"/>
      <c r="D46" s="3"/>
      <c r="E46" s="15">
        <v>46270.0</v>
      </c>
      <c r="F46" s="16" t="s">
        <v>16</v>
      </c>
      <c r="G46" s="23">
        <v>1081.0</v>
      </c>
      <c r="H46" s="3"/>
      <c r="I46" s="75">
        <f t="shared" ref="I46:I75" si="4">I45 + 1</f>
        <v>46260</v>
      </c>
      <c r="J46" s="70">
        <f t="shared" si="1"/>
        <v>5802.433333</v>
      </c>
      <c r="K46" s="76">
        <f t="shared" ref="K46:K75" si="5">SUM(K45,J46)</f>
        <v>12062.86667</v>
      </c>
      <c r="L46" s="72">
        <f>L45*2</f>
        <v>13994</v>
      </c>
      <c r="M46" s="73" t="str">
        <f t="shared" si="2"/>
        <v>#N/A</v>
      </c>
      <c r="N46" s="74" t="str">
        <f t="shared" si="3"/>
        <v>#N/A</v>
      </c>
      <c r="O46" s="3"/>
      <c r="P46" s="68"/>
      <c r="Q46" s="4"/>
      <c r="R46" s="3"/>
      <c r="S46" s="3"/>
      <c r="T46" s="3"/>
      <c r="U46" s="3"/>
    </row>
    <row r="47">
      <c r="A47" s="3"/>
      <c r="B47" s="3"/>
      <c r="C47" s="3"/>
      <c r="D47" s="3"/>
      <c r="E47" s="15">
        <v>46271.0</v>
      </c>
      <c r="F47" s="16" t="s">
        <v>13</v>
      </c>
      <c r="G47" s="23">
        <v>574.0</v>
      </c>
      <c r="H47" s="3"/>
      <c r="I47" s="75">
        <f t="shared" si="4"/>
        <v>46261</v>
      </c>
      <c r="J47" s="70">
        <f t="shared" si="1"/>
        <v>5612.433333</v>
      </c>
      <c r="K47" s="76">
        <f t="shared" si="5"/>
        <v>17675.3</v>
      </c>
      <c r="L47" s="72">
        <f>L45*3</f>
        <v>20991</v>
      </c>
      <c r="M47" s="73" t="str">
        <f t="shared" si="2"/>
        <v>#N/A</v>
      </c>
      <c r="N47" s="77" t="str">
        <f t="shared" si="3"/>
        <v>#N/A</v>
      </c>
      <c r="O47" s="3"/>
      <c r="P47" s="68"/>
      <c r="Q47" s="4"/>
      <c r="R47" s="3"/>
      <c r="S47" s="3"/>
      <c r="T47" s="3"/>
      <c r="U47" s="3"/>
    </row>
    <row r="48">
      <c r="A48" s="3"/>
      <c r="B48" s="3"/>
      <c r="C48" s="3"/>
      <c r="D48" s="3"/>
      <c r="E48" s="15">
        <v>46271.0</v>
      </c>
      <c r="F48" s="16" t="s">
        <v>13</v>
      </c>
      <c r="G48" s="23">
        <v>1019.0</v>
      </c>
      <c r="H48" s="3"/>
      <c r="I48" s="75">
        <f t="shared" si="4"/>
        <v>46262</v>
      </c>
      <c r="J48" s="70">
        <f t="shared" si="1"/>
        <v>10930.43333</v>
      </c>
      <c r="K48" s="76">
        <f t="shared" si="5"/>
        <v>28605.73333</v>
      </c>
      <c r="L48" s="72">
        <f>L45*4</f>
        <v>27988</v>
      </c>
      <c r="M48" s="73" t="str">
        <f t="shared" si="2"/>
        <v>#N/A</v>
      </c>
      <c r="N48" s="74" t="str">
        <f t="shared" si="3"/>
        <v>#N/A</v>
      </c>
      <c r="O48" s="3"/>
      <c r="P48" s="68"/>
      <c r="Q48" s="4"/>
      <c r="R48" s="3"/>
      <c r="S48" s="3"/>
      <c r="T48" s="3"/>
      <c r="U48" s="3"/>
    </row>
    <row r="49">
      <c r="A49" s="3"/>
      <c r="B49" s="3"/>
      <c r="C49" s="3"/>
      <c r="D49" s="3"/>
      <c r="E49" s="15">
        <v>46271.0</v>
      </c>
      <c r="F49" s="16" t="s">
        <v>13</v>
      </c>
      <c r="G49" s="23">
        <v>1019.0</v>
      </c>
      <c r="H49" s="3"/>
      <c r="I49" s="75">
        <f t="shared" si="4"/>
        <v>46263</v>
      </c>
      <c r="J49" s="70">
        <f t="shared" si="1"/>
        <v>7112.433333</v>
      </c>
      <c r="K49" s="76">
        <f t="shared" si="5"/>
        <v>35718.16667</v>
      </c>
      <c r="L49" s="72">
        <f>L45*5</f>
        <v>34985</v>
      </c>
      <c r="M49" s="73" t="str">
        <f t="shared" si="2"/>
        <v>#N/A</v>
      </c>
      <c r="N49" s="74" t="str">
        <f t="shared" si="3"/>
        <v>#N/A</v>
      </c>
      <c r="O49" s="3"/>
      <c r="P49" s="68"/>
      <c r="Q49" s="4"/>
      <c r="R49" s="3"/>
      <c r="S49" s="3"/>
      <c r="T49" s="3"/>
      <c r="U49" s="3"/>
    </row>
    <row r="50">
      <c r="A50" s="3"/>
      <c r="B50" s="3"/>
      <c r="C50" s="3"/>
      <c r="D50" s="3"/>
      <c r="E50" s="15">
        <v>46271.0</v>
      </c>
      <c r="F50" s="16" t="s">
        <v>13</v>
      </c>
      <c r="G50" s="23">
        <v>668.0</v>
      </c>
      <c r="H50" s="3"/>
      <c r="I50" s="75">
        <f t="shared" si="4"/>
        <v>46264</v>
      </c>
      <c r="J50" s="70">
        <f t="shared" si="1"/>
        <v>14211.43333</v>
      </c>
      <c r="K50" s="76">
        <f t="shared" si="5"/>
        <v>49929.6</v>
      </c>
      <c r="L50" s="72">
        <f>L45*6</f>
        <v>41982</v>
      </c>
      <c r="M50" s="73" t="str">
        <f t="shared" si="2"/>
        <v>#N/A</v>
      </c>
      <c r="N50" s="74" t="str">
        <f t="shared" si="3"/>
        <v>#N/A</v>
      </c>
      <c r="O50" s="3"/>
      <c r="P50" s="68"/>
      <c r="Q50" s="4"/>
      <c r="R50" s="3"/>
      <c r="S50" s="3"/>
      <c r="T50" s="3"/>
      <c r="U50" s="3"/>
    </row>
    <row r="51">
      <c r="A51" s="3"/>
      <c r="B51" s="3"/>
      <c r="C51" s="3"/>
      <c r="D51" s="3"/>
      <c r="E51" s="15">
        <v>46272.0</v>
      </c>
      <c r="F51" s="16" t="s">
        <v>11</v>
      </c>
      <c r="G51" s="23">
        <v>2761.0</v>
      </c>
      <c r="H51" s="3"/>
      <c r="I51" s="75">
        <f t="shared" si="4"/>
        <v>46265</v>
      </c>
      <c r="J51" s="70">
        <f t="shared" si="1"/>
        <v>9169.433333</v>
      </c>
      <c r="K51" s="76">
        <f t="shared" si="5"/>
        <v>59099.03333</v>
      </c>
      <c r="L51" s="72">
        <f>L45*7</f>
        <v>48979</v>
      </c>
      <c r="M51" s="73" t="str">
        <f t="shared" si="2"/>
        <v>#N/A</v>
      </c>
      <c r="N51" s="74" t="str">
        <f t="shared" si="3"/>
        <v>#N/A</v>
      </c>
      <c r="O51" s="3"/>
      <c r="P51" s="68"/>
      <c r="Q51" s="4"/>
      <c r="R51" s="3"/>
      <c r="S51" s="3"/>
      <c r="T51" s="3"/>
      <c r="U51" s="3"/>
    </row>
    <row r="52">
      <c r="A52" s="3"/>
      <c r="B52" s="3"/>
      <c r="C52" s="3"/>
      <c r="D52" s="3"/>
      <c r="E52" s="15">
        <v>46273.0</v>
      </c>
      <c r="F52" s="16" t="s">
        <v>13</v>
      </c>
      <c r="G52" s="23">
        <v>646.0</v>
      </c>
      <c r="H52" s="3"/>
      <c r="I52" s="75">
        <f t="shared" si="4"/>
        <v>46266</v>
      </c>
      <c r="J52" s="70">
        <f t="shared" si="1"/>
        <v>5150.433333</v>
      </c>
      <c r="K52" s="76">
        <f t="shared" si="5"/>
        <v>64249.46667</v>
      </c>
      <c r="L52" s="72">
        <f>L45*8</f>
        <v>55976</v>
      </c>
      <c r="M52" s="73" t="str">
        <f t="shared" si="2"/>
        <v>#N/A</v>
      </c>
      <c r="N52" s="74" t="str">
        <f t="shared" si="3"/>
        <v>#N/A</v>
      </c>
      <c r="O52" s="3"/>
      <c r="P52" s="68"/>
      <c r="Q52" s="4"/>
      <c r="R52" s="3"/>
      <c r="S52" s="3"/>
      <c r="T52" s="3"/>
      <c r="U52" s="3"/>
    </row>
    <row r="53">
      <c r="A53" s="3"/>
      <c r="B53" s="3"/>
      <c r="C53" s="3"/>
      <c r="D53" s="3"/>
      <c r="E53" s="15">
        <v>46273.0</v>
      </c>
      <c r="F53" s="16" t="s">
        <v>13</v>
      </c>
      <c r="G53" s="23">
        <v>646.0</v>
      </c>
      <c r="H53" s="3"/>
      <c r="I53" s="75">
        <f t="shared" si="4"/>
        <v>46267</v>
      </c>
      <c r="J53" s="70">
        <f t="shared" si="1"/>
        <v>6843.433333</v>
      </c>
      <c r="K53" s="76">
        <f t="shared" si="5"/>
        <v>71092.9</v>
      </c>
      <c r="L53" s="72">
        <f>L45*9</f>
        <v>62973</v>
      </c>
      <c r="M53" s="73" t="str">
        <f t="shared" si="2"/>
        <v>#N/A</v>
      </c>
      <c r="N53" s="74" t="str">
        <f t="shared" si="3"/>
        <v>#N/A</v>
      </c>
      <c r="O53" s="3"/>
      <c r="P53" s="68"/>
      <c r="Q53" s="4"/>
      <c r="R53" s="3"/>
      <c r="S53" s="3"/>
      <c r="T53" s="3"/>
      <c r="U53" s="3"/>
    </row>
    <row r="54">
      <c r="A54" s="3"/>
      <c r="B54" s="3"/>
      <c r="C54" s="3"/>
      <c r="D54" s="3"/>
      <c r="E54" s="15">
        <v>46273.0</v>
      </c>
      <c r="F54" s="16" t="s">
        <v>14</v>
      </c>
      <c r="G54" s="23">
        <v>442.0</v>
      </c>
      <c r="H54" s="3"/>
      <c r="I54" s="75">
        <f t="shared" si="4"/>
        <v>46268</v>
      </c>
      <c r="J54" s="70">
        <f t="shared" si="1"/>
        <v>7756.433333</v>
      </c>
      <c r="K54" s="76">
        <f t="shared" si="5"/>
        <v>78849.33333</v>
      </c>
      <c r="L54" s="72">
        <f>L45*10</f>
        <v>69970</v>
      </c>
      <c r="M54" s="73" t="str">
        <f t="shared" si="2"/>
        <v>#N/A</v>
      </c>
      <c r="N54" s="74" t="str">
        <f t="shared" si="3"/>
        <v>#N/A</v>
      </c>
      <c r="O54" s="3"/>
      <c r="P54" s="68"/>
      <c r="Q54" s="4"/>
      <c r="R54" s="3"/>
      <c r="S54" s="3"/>
      <c r="T54" s="3"/>
      <c r="U54" s="3"/>
    </row>
    <row r="55">
      <c r="A55" s="3"/>
      <c r="B55" s="3"/>
      <c r="C55" s="3"/>
      <c r="D55" s="3"/>
      <c r="E55" s="15">
        <v>46273.0</v>
      </c>
      <c r="F55" s="16" t="s">
        <v>13</v>
      </c>
      <c r="G55" s="23">
        <v>536.0</v>
      </c>
      <c r="H55" s="3"/>
      <c r="I55" s="75">
        <f t="shared" si="4"/>
        <v>46269</v>
      </c>
      <c r="J55" s="70">
        <f t="shared" si="1"/>
        <v>5218.433333</v>
      </c>
      <c r="K55" s="76">
        <f t="shared" si="5"/>
        <v>84067.76667</v>
      </c>
      <c r="L55" s="72">
        <f>L45*11</f>
        <v>76967</v>
      </c>
      <c r="M55" s="73" t="str">
        <f t="shared" si="2"/>
        <v>#N/A</v>
      </c>
      <c r="N55" s="74" t="str">
        <f t="shared" si="3"/>
        <v>#N/A</v>
      </c>
      <c r="O55" s="3"/>
      <c r="P55" s="3"/>
      <c r="Q55" s="4"/>
      <c r="R55" s="3"/>
      <c r="S55" s="3"/>
      <c r="T55" s="3"/>
      <c r="U55" s="3"/>
    </row>
    <row r="56">
      <c r="A56" s="3"/>
      <c r="B56" s="3"/>
      <c r="C56" s="3"/>
      <c r="D56" s="3"/>
      <c r="E56" s="15">
        <v>46274.0</v>
      </c>
      <c r="F56" s="16" t="s">
        <v>11</v>
      </c>
      <c r="G56" s="23">
        <v>1298.0</v>
      </c>
      <c r="H56" s="3"/>
      <c r="I56" s="75">
        <f t="shared" si="4"/>
        <v>46270</v>
      </c>
      <c r="J56" s="70">
        <f t="shared" si="1"/>
        <v>4563.433333</v>
      </c>
      <c r="K56" s="76">
        <f t="shared" si="5"/>
        <v>88631.2</v>
      </c>
      <c r="L56" s="72">
        <f>L45*12</f>
        <v>83964</v>
      </c>
      <c r="M56" s="73" t="str">
        <f t="shared" si="2"/>
        <v>#N/A</v>
      </c>
      <c r="N56" s="74" t="str">
        <f t="shared" si="3"/>
        <v>#N/A</v>
      </c>
      <c r="O56" s="3"/>
      <c r="P56" s="3"/>
      <c r="Q56" s="4"/>
      <c r="R56" s="3"/>
      <c r="S56" s="3"/>
      <c r="T56" s="3"/>
      <c r="U56" s="3"/>
    </row>
    <row r="57">
      <c r="A57" s="3"/>
      <c r="B57" s="3"/>
      <c r="C57" s="3"/>
      <c r="D57" s="3"/>
      <c r="E57" s="15">
        <v>46274.0</v>
      </c>
      <c r="F57" s="16" t="s">
        <v>17</v>
      </c>
      <c r="G57" s="23">
        <v>1000.0</v>
      </c>
      <c r="H57" s="3"/>
      <c r="I57" s="75">
        <f t="shared" si="4"/>
        <v>46271</v>
      </c>
      <c r="J57" s="70">
        <f t="shared" si="1"/>
        <v>5722.433333</v>
      </c>
      <c r="K57" s="76">
        <f t="shared" si="5"/>
        <v>94353.63333</v>
      </c>
      <c r="L57" s="72">
        <f>L45*13</f>
        <v>90961</v>
      </c>
      <c r="M57" s="73" t="str">
        <f t="shared" si="2"/>
        <v>#N/A</v>
      </c>
      <c r="N57" s="74" t="str">
        <f t="shared" si="3"/>
        <v>#N/A</v>
      </c>
      <c r="O57" s="3"/>
      <c r="P57" s="3"/>
      <c r="Q57" s="4"/>
      <c r="R57" s="3"/>
      <c r="S57" s="3"/>
      <c r="T57" s="3"/>
      <c r="U57" s="3"/>
    </row>
    <row r="58">
      <c r="A58" s="3"/>
      <c r="B58" s="3"/>
      <c r="C58" s="3"/>
      <c r="D58" s="3"/>
      <c r="E58" s="15">
        <v>46274.0</v>
      </c>
      <c r="F58" s="16" t="s">
        <v>11</v>
      </c>
      <c r="G58" s="23">
        <v>2607.0</v>
      </c>
      <c r="H58" s="3"/>
      <c r="I58" s="75">
        <f t="shared" si="4"/>
        <v>46272</v>
      </c>
      <c r="J58" s="70">
        <f t="shared" si="1"/>
        <v>5203.433333</v>
      </c>
      <c r="K58" s="76">
        <f t="shared" si="5"/>
        <v>99557.06667</v>
      </c>
      <c r="L58" s="72">
        <f>L45*14</f>
        <v>97958</v>
      </c>
      <c r="M58" s="73" t="str">
        <f t="shared" si="2"/>
        <v>#N/A</v>
      </c>
      <c r="N58" s="74" t="str">
        <f t="shared" si="3"/>
        <v>#N/A</v>
      </c>
      <c r="O58" s="3"/>
      <c r="P58" s="3"/>
      <c r="Q58" s="4"/>
      <c r="R58" s="3"/>
      <c r="S58" s="3"/>
      <c r="T58" s="3"/>
      <c r="U58" s="3"/>
    </row>
    <row r="59">
      <c r="A59" s="3"/>
      <c r="B59" s="3"/>
      <c r="C59" s="3"/>
      <c r="D59" s="3"/>
      <c r="E59" s="15">
        <v>46274.0</v>
      </c>
      <c r="F59" s="16" t="s">
        <v>13</v>
      </c>
      <c r="G59" s="23">
        <v>61.0</v>
      </c>
      <c r="H59" s="3"/>
      <c r="I59" s="75">
        <f t="shared" si="4"/>
        <v>46273</v>
      </c>
      <c r="J59" s="70">
        <f t="shared" si="1"/>
        <v>4712.433333</v>
      </c>
      <c r="K59" s="76">
        <f t="shared" si="5"/>
        <v>104269.5</v>
      </c>
      <c r="L59" s="72">
        <f>L45*15</f>
        <v>104955</v>
      </c>
      <c r="M59" s="73" t="str">
        <f t="shared" si="2"/>
        <v>#N/A</v>
      </c>
      <c r="N59" s="74" t="str">
        <f t="shared" si="3"/>
        <v>#N/A</v>
      </c>
      <c r="O59" s="3"/>
      <c r="P59" s="3"/>
      <c r="Q59" s="4"/>
      <c r="R59" s="3"/>
      <c r="S59" s="3"/>
      <c r="T59" s="3"/>
      <c r="U59" s="3"/>
    </row>
    <row r="60">
      <c r="A60" s="3"/>
      <c r="B60" s="3"/>
      <c r="C60" s="3"/>
      <c r="D60" s="3"/>
      <c r="E60" s="15">
        <v>46275.0</v>
      </c>
      <c r="F60" s="16" t="s">
        <v>13</v>
      </c>
      <c r="G60" s="23">
        <v>991.0</v>
      </c>
      <c r="H60" s="3"/>
      <c r="I60" s="75">
        <f t="shared" si="4"/>
        <v>46274</v>
      </c>
      <c r="J60" s="70">
        <f t="shared" si="1"/>
        <v>7408.433333</v>
      </c>
      <c r="K60" s="76">
        <f t="shared" si="5"/>
        <v>111677.9333</v>
      </c>
      <c r="L60" s="72">
        <f>L45*16</f>
        <v>111952</v>
      </c>
      <c r="M60" s="73" t="str">
        <f t="shared" si="2"/>
        <v>#N/A</v>
      </c>
      <c r="N60" s="74" t="str">
        <f t="shared" si="3"/>
        <v>#N/A</v>
      </c>
      <c r="O60" s="3"/>
      <c r="P60" s="3"/>
      <c r="Q60" s="4"/>
      <c r="R60" s="3"/>
      <c r="S60" s="3"/>
      <c r="T60" s="3"/>
      <c r="U60" s="3"/>
    </row>
    <row r="61">
      <c r="A61" s="3"/>
      <c r="B61" s="3"/>
      <c r="C61" s="3"/>
      <c r="D61" s="3"/>
      <c r="E61" s="15">
        <v>46275.0</v>
      </c>
      <c r="F61" s="16" t="s">
        <v>16</v>
      </c>
      <c r="G61" s="23">
        <v>5269.0</v>
      </c>
      <c r="H61" s="3"/>
      <c r="I61" s="75">
        <f t="shared" si="4"/>
        <v>46275</v>
      </c>
      <c r="J61" s="70">
        <f t="shared" si="1"/>
        <v>8702.433333</v>
      </c>
      <c r="K61" s="76">
        <f t="shared" si="5"/>
        <v>120380.3667</v>
      </c>
      <c r="L61" s="72">
        <f>L45*17</f>
        <v>118949</v>
      </c>
      <c r="M61" s="73" t="str">
        <f t="shared" si="2"/>
        <v>#N/A</v>
      </c>
      <c r="N61" s="74" t="str">
        <f t="shared" si="3"/>
        <v>#N/A</v>
      </c>
      <c r="O61" s="3"/>
      <c r="P61" s="3"/>
      <c r="Q61" s="4"/>
      <c r="R61" s="3"/>
      <c r="S61" s="3"/>
      <c r="T61" s="3"/>
      <c r="U61" s="3"/>
    </row>
    <row r="62">
      <c r="A62" s="3"/>
      <c r="B62" s="3"/>
      <c r="C62" s="3"/>
      <c r="D62" s="3"/>
      <c r="E62" s="15">
        <v>46276.0</v>
      </c>
      <c r="F62" s="16" t="s">
        <v>11</v>
      </c>
      <c r="G62" s="23">
        <v>900.0</v>
      </c>
      <c r="H62" s="3"/>
      <c r="I62" s="75">
        <f t="shared" si="4"/>
        <v>46276</v>
      </c>
      <c r="J62" s="70">
        <f t="shared" si="1"/>
        <v>3342.433333</v>
      </c>
      <c r="K62" s="76">
        <f t="shared" si="5"/>
        <v>123722.8</v>
      </c>
      <c r="L62" s="72">
        <f>L45*18</f>
        <v>125946</v>
      </c>
      <c r="M62" s="73" t="str">
        <f t="shared" si="2"/>
        <v>#N/A</v>
      </c>
      <c r="N62" s="74" t="str">
        <f t="shared" si="3"/>
        <v>#N/A</v>
      </c>
      <c r="O62" s="3"/>
      <c r="P62" s="3"/>
      <c r="Q62" s="4"/>
      <c r="R62" s="3"/>
      <c r="S62" s="3"/>
      <c r="T62" s="3"/>
      <c r="U62" s="3"/>
    </row>
    <row r="63">
      <c r="A63" s="3"/>
      <c r="B63" s="3"/>
      <c r="C63" s="3"/>
      <c r="D63" s="3"/>
      <c r="E63" s="15">
        <v>46277.0</v>
      </c>
      <c r="F63" s="16" t="s">
        <v>16</v>
      </c>
      <c r="G63" s="23">
        <v>4074.0</v>
      </c>
      <c r="H63" s="3"/>
      <c r="I63" s="75">
        <f t="shared" si="4"/>
        <v>46277</v>
      </c>
      <c r="J63" s="70">
        <f t="shared" si="1"/>
        <v>6516.433333</v>
      </c>
      <c r="K63" s="76">
        <f t="shared" si="5"/>
        <v>130239.2333</v>
      </c>
      <c r="L63" s="72">
        <f>L45*19</f>
        <v>132943</v>
      </c>
      <c r="M63" s="73" t="str">
        <f t="shared" si="2"/>
        <v>#N/A</v>
      </c>
      <c r="N63" s="74" t="str">
        <f t="shared" si="3"/>
        <v>#N/A</v>
      </c>
      <c r="O63" s="3"/>
      <c r="P63" s="3"/>
      <c r="Q63" s="4"/>
      <c r="R63" s="3"/>
      <c r="S63" s="3"/>
      <c r="T63" s="3"/>
      <c r="U63" s="3"/>
    </row>
    <row r="64">
      <c r="A64" s="3"/>
      <c r="B64" s="3"/>
      <c r="C64" s="3"/>
      <c r="D64" s="3"/>
      <c r="E64" s="15">
        <v>46278.0</v>
      </c>
      <c r="F64" s="16" t="s">
        <v>11</v>
      </c>
      <c r="G64" s="23">
        <v>2150.0</v>
      </c>
      <c r="H64" s="3"/>
      <c r="I64" s="75">
        <f t="shared" si="4"/>
        <v>46278</v>
      </c>
      <c r="J64" s="70">
        <f t="shared" si="1"/>
        <v>8892.433333</v>
      </c>
      <c r="K64" s="76">
        <f t="shared" si="5"/>
        <v>139131.6667</v>
      </c>
      <c r="L64" s="72">
        <f>L45*20</f>
        <v>139940</v>
      </c>
      <c r="M64" s="73" t="str">
        <f t="shared" si="2"/>
        <v>#N/A</v>
      </c>
      <c r="N64" s="74" t="str">
        <f t="shared" si="3"/>
        <v>#N/A</v>
      </c>
      <c r="O64" s="3"/>
      <c r="P64" s="3"/>
      <c r="Q64" s="4"/>
      <c r="R64" s="3"/>
      <c r="S64" s="3"/>
      <c r="T64" s="3"/>
      <c r="U64" s="3"/>
    </row>
    <row r="65">
      <c r="A65" s="3"/>
      <c r="B65" s="3"/>
      <c r="C65" s="3"/>
      <c r="D65" s="3"/>
      <c r="E65" s="15">
        <v>46278.0</v>
      </c>
      <c r="F65" s="16" t="s">
        <v>9</v>
      </c>
      <c r="G65" s="23">
        <v>4300.0</v>
      </c>
      <c r="H65" s="3"/>
      <c r="I65" s="75">
        <f t="shared" si="4"/>
        <v>46279</v>
      </c>
      <c r="J65" s="70">
        <f t="shared" si="1"/>
        <v>6146.433333</v>
      </c>
      <c r="K65" s="76">
        <f t="shared" si="5"/>
        <v>145278.1</v>
      </c>
      <c r="L65" s="72">
        <f>L45*21</f>
        <v>146937</v>
      </c>
      <c r="M65" s="73" t="str">
        <f t="shared" si="2"/>
        <v>#N/A</v>
      </c>
      <c r="N65" s="74" t="str">
        <f t="shared" si="3"/>
        <v>#N/A</v>
      </c>
      <c r="O65" s="3"/>
      <c r="P65" s="3"/>
      <c r="Q65" s="4"/>
      <c r="R65" s="3"/>
      <c r="S65" s="3"/>
      <c r="T65" s="3"/>
      <c r="U65" s="3"/>
    </row>
    <row r="66">
      <c r="A66" s="3"/>
      <c r="B66" s="3"/>
      <c r="C66" s="3"/>
      <c r="D66" s="3"/>
      <c r="E66" s="15">
        <v>46279.0</v>
      </c>
      <c r="F66" s="16" t="s">
        <v>11</v>
      </c>
      <c r="G66" s="23">
        <v>1260.0</v>
      </c>
      <c r="H66" s="3"/>
      <c r="I66" s="75">
        <f t="shared" si="4"/>
        <v>46280</v>
      </c>
      <c r="J66" s="70">
        <f t="shared" si="1"/>
        <v>4412.433333</v>
      </c>
      <c r="K66" s="76">
        <f t="shared" si="5"/>
        <v>149690.5333</v>
      </c>
      <c r="L66" s="72">
        <f>L45*22</f>
        <v>153934</v>
      </c>
      <c r="M66" s="73" t="str">
        <f t="shared" si="2"/>
        <v>#N/A</v>
      </c>
      <c r="N66" s="74" t="str">
        <f t="shared" si="3"/>
        <v>#N/A</v>
      </c>
      <c r="O66" s="3"/>
      <c r="P66" s="3"/>
      <c r="Q66" s="4"/>
      <c r="R66" s="3"/>
      <c r="S66" s="3"/>
      <c r="T66" s="3"/>
      <c r="U66" s="3"/>
    </row>
    <row r="67">
      <c r="A67" s="3"/>
      <c r="B67" s="3"/>
      <c r="C67" s="3"/>
      <c r="D67" s="3"/>
      <c r="E67" s="15">
        <v>46279.0</v>
      </c>
      <c r="F67" s="16" t="s">
        <v>16</v>
      </c>
      <c r="G67" s="23">
        <v>2444.0</v>
      </c>
      <c r="H67" s="3"/>
      <c r="I67" s="75">
        <f t="shared" si="4"/>
        <v>46281</v>
      </c>
      <c r="J67" s="70">
        <f t="shared" si="1"/>
        <v>6150.433333</v>
      </c>
      <c r="K67" s="76">
        <f t="shared" si="5"/>
        <v>155840.9667</v>
      </c>
      <c r="L67" s="72">
        <f>L45*23</f>
        <v>160931</v>
      </c>
      <c r="M67" s="73" t="str">
        <f t="shared" si="2"/>
        <v>#N/A</v>
      </c>
      <c r="N67" s="74" t="str">
        <f t="shared" si="3"/>
        <v>#N/A</v>
      </c>
      <c r="O67" s="3"/>
      <c r="P67" s="3"/>
      <c r="Q67" s="4"/>
      <c r="R67" s="3"/>
      <c r="S67" s="3"/>
      <c r="T67" s="3"/>
      <c r="U67" s="3"/>
    </row>
    <row r="68">
      <c r="A68" s="3"/>
      <c r="B68" s="3"/>
      <c r="C68" s="3"/>
      <c r="D68" s="3"/>
      <c r="E68" s="15">
        <v>46280.0</v>
      </c>
      <c r="F68" s="16" t="s">
        <v>11</v>
      </c>
      <c r="G68" s="23">
        <v>960.0</v>
      </c>
      <c r="H68" s="3"/>
      <c r="I68" s="75">
        <f t="shared" si="4"/>
        <v>46282</v>
      </c>
      <c r="J68" s="70">
        <f t="shared" si="1"/>
        <v>3902.433333</v>
      </c>
      <c r="K68" s="76">
        <f t="shared" si="5"/>
        <v>159743.4</v>
      </c>
      <c r="L68" s="72">
        <f>L45*24</f>
        <v>167928</v>
      </c>
      <c r="M68" s="73" t="str">
        <f t="shared" si="2"/>
        <v>#N/A</v>
      </c>
      <c r="N68" s="74" t="str">
        <f t="shared" si="3"/>
        <v>#N/A</v>
      </c>
      <c r="O68" s="3"/>
      <c r="P68" s="3"/>
      <c r="Q68" s="4"/>
      <c r="R68" s="3"/>
      <c r="S68" s="3"/>
      <c r="T68" s="3"/>
      <c r="U68" s="3"/>
    </row>
    <row r="69">
      <c r="A69" s="3"/>
      <c r="B69" s="3"/>
      <c r="C69" s="3"/>
      <c r="D69" s="3"/>
      <c r="E69" s="15">
        <v>46280.0</v>
      </c>
      <c r="F69" s="16" t="s">
        <v>11</v>
      </c>
      <c r="G69" s="23">
        <v>1010.0</v>
      </c>
      <c r="H69" s="3"/>
      <c r="I69" s="75">
        <f t="shared" si="4"/>
        <v>46283</v>
      </c>
      <c r="J69" s="70">
        <f t="shared" si="1"/>
        <v>6956.433333</v>
      </c>
      <c r="K69" s="76">
        <f t="shared" si="5"/>
        <v>166699.8333</v>
      </c>
      <c r="L69" s="72">
        <f>L45*25</f>
        <v>174925</v>
      </c>
      <c r="M69" s="73" t="str">
        <f t="shared" si="2"/>
        <v>#N/A</v>
      </c>
      <c r="N69" s="74" t="str">
        <f t="shared" si="3"/>
        <v>#N/A</v>
      </c>
      <c r="O69" s="3"/>
      <c r="P69" s="3"/>
      <c r="Q69" s="4"/>
      <c r="R69" s="3"/>
      <c r="S69" s="3"/>
      <c r="T69" s="3"/>
      <c r="U69" s="3"/>
    </row>
    <row r="70">
      <c r="A70" s="3"/>
      <c r="B70" s="3"/>
      <c r="C70" s="3"/>
      <c r="D70" s="3"/>
      <c r="E70" s="15">
        <v>46281.0</v>
      </c>
      <c r="F70" s="16" t="s">
        <v>17</v>
      </c>
      <c r="G70" s="23">
        <v>1000.0</v>
      </c>
      <c r="H70" s="3"/>
      <c r="I70" s="75">
        <f t="shared" si="4"/>
        <v>46284</v>
      </c>
      <c r="J70" s="70">
        <f t="shared" si="1"/>
        <v>5192.433333</v>
      </c>
      <c r="K70" s="76">
        <f t="shared" si="5"/>
        <v>171892.2667</v>
      </c>
      <c r="L70" s="72">
        <f>L45*26</f>
        <v>181922</v>
      </c>
      <c r="M70" s="73" t="str">
        <f t="shared" si="2"/>
        <v>#N/A</v>
      </c>
      <c r="N70" s="74" t="str">
        <f t="shared" si="3"/>
        <v>#N/A</v>
      </c>
      <c r="O70" s="3"/>
      <c r="P70" s="3"/>
      <c r="Q70" s="4"/>
      <c r="R70" s="3"/>
      <c r="S70" s="3"/>
      <c r="T70" s="3"/>
      <c r="U70" s="3"/>
    </row>
    <row r="71">
      <c r="A71" s="3"/>
      <c r="B71" s="3"/>
      <c r="C71" s="3"/>
      <c r="D71" s="3"/>
      <c r="E71" s="15">
        <v>46281.0</v>
      </c>
      <c r="F71" s="16" t="s">
        <v>11</v>
      </c>
      <c r="G71" s="23">
        <v>1850.0</v>
      </c>
      <c r="H71" s="3"/>
      <c r="I71" s="75">
        <f t="shared" si="4"/>
        <v>46285</v>
      </c>
      <c r="J71" s="70">
        <f t="shared" si="1"/>
        <v>3795.433333</v>
      </c>
      <c r="K71" s="76">
        <f t="shared" si="5"/>
        <v>175687.7</v>
      </c>
      <c r="L71" s="72">
        <f>L45*27</f>
        <v>188919</v>
      </c>
      <c r="M71" s="73" t="str">
        <f t="shared" si="2"/>
        <v>#N/A</v>
      </c>
      <c r="N71" s="74" t="str">
        <f t="shared" si="3"/>
        <v>#N/A</v>
      </c>
      <c r="O71" s="3"/>
      <c r="P71" s="3"/>
      <c r="Q71" s="4"/>
      <c r="R71" s="3"/>
      <c r="S71" s="3"/>
      <c r="T71" s="3"/>
      <c r="U71" s="3"/>
    </row>
    <row r="72">
      <c r="A72" s="3"/>
      <c r="B72" s="3"/>
      <c r="C72" s="3"/>
      <c r="D72" s="3"/>
      <c r="E72" s="15">
        <v>46281.0</v>
      </c>
      <c r="F72" s="16" t="s">
        <v>16</v>
      </c>
      <c r="G72" s="23">
        <v>858.0</v>
      </c>
      <c r="H72" s="3"/>
      <c r="I72" s="75">
        <f t="shared" si="4"/>
        <v>46286</v>
      </c>
      <c r="J72" s="70">
        <f t="shared" si="1"/>
        <v>15648.43333</v>
      </c>
      <c r="K72" s="76">
        <f t="shared" si="5"/>
        <v>191336.1333</v>
      </c>
      <c r="L72" s="72">
        <f>L45*28</f>
        <v>195916</v>
      </c>
      <c r="M72" s="73" t="str">
        <f t="shared" si="2"/>
        <v>#N/A</v>
      </c>
      <c r="N72" s="74" t="str">
        <f t="shared" si="3"/>
        <v>#N/A</v>
      </c>
      <c r="O72" s="3"/>
      <c r="P72" s="3"/>
      <c r="Q72" s="4"/>
      <c r="R72" s="3"/>
      <c r="S72" s="3"/>
      <c r="T72" s="3"/>
      <c r="U72" s="3"/>
    </row>
    <row r="73">
      <c r="A73" s="3"/>
      <c r="B73" s="3"/>
      <c r="C73" s="3"/>
      <c r="D73" s="3"/>
      <c r="E73" s="15">
        <v>46282.0</v>
      </c>
      <c r="F73" s="16" t="s">
        <v>11</v>
      </c>
      <c r="G73" s="23">
        <v>1000.0</v>
      </c>
      <c r="H73" s="3"/>
      <c r="I73" s="75">
        <f t="shared" si="4"/>
        <v>46287</v>
      </c>
      <c r="J73" s="70">
        <f t="shared" si="1"/>
        <v>2442.433333</v>
      </c>
      <c r="K73" s="76">
        <f t="shared" si="5"/>
        <v>193778.5667</v>
      </c>
      <c r="L73" s="72">
        <f>L45*29</f>
        <v>202913</v>
      </c>
      <c r="M73" s="73" t="str">
        <f t="shared" si="2"/>
        <v>#N/A</v>
      </c>
      <c r="N73" s="74" t="str">
        <f t="shared" si="3"/>
        <v>#N/A</v>
      </c>
      <c r="O73" s="3"/>
      <c r="P73" s="3"/>
      <c r="Q73" s="4"/>
      <c r="R73" s="3"/>
      <c r="S73" s="3"/>
      <c r="T73" s="3"/>
      <c r="U73" s="3"/>
    </row>
    <row r="74">
      <c r="A74" s="3"/>
      <c r="B74" s="3"/>
      <c r="C74" s="3"/>
      <c r="D74" s="3"/>
      <c r="E74" s="15">
        <v>46282.0</v>
      </c>
      <c r="F74" s="16" t="s">
        <v>13</v>
      </c>
      <c r="G74" s="23">
        <v>460.0</v>
      </c>
      <c r="H74" s="3"/>
      <c r="I74" s="75">
        <f t="shared" si="4"/>
        <v>46288</v>
      </c>
      <c r="J74" s="70">
        <f t="shared" si="1"/>
        <v>7807.433333</v>
      </c>
      <c r="K74" s="76">
        <f t="shared" si="5"/>
        <v>201586</v>
      </c>
      <c r="L74" s="72">
        <f>L45*30</f>
        <v>209910</v>
      </c>
      <c r="M74" s="73" t="str">
        <f t="shared" si="2"/>
        <v>#N/A</v>
      </c>
      <c r="N74" s="74" t="str">
        <f t="shared" si="3"/>
        <v>#N/A</v>
      </c>
      <c r="O74" s="3"/>
      <c r="P74" s="3"/>
      <c r="Q74" s="4"/>
      <c r="R74" s="3"/>
      <c r="S74" s="3"/>
      <c r="T74" s="3"/>
      <c r="U74" s="3"/>
    </row>
    <row r="75">
      <c r="A75" s="3"/>
      <c r="B75" s="3"/>
      <c r="C75" s="3"/>
      <c r="D75" s="3"/>
      <c r="E75" s="15">
        <v>46283.0</v>
      </c>
      <c r="F75" s="16" t="s">
        <v>13</v>
      </c>
      <c r="G75" s="23">
        <v>808.0</v>
      </c>
      <c r="H75" s="3"/>
      <c r="I75" s="75">
        <f t="shared" si="4"/>
        <v>46289</v>
      </c>
      <c r="J75" s="70">
        <f t="shared" si="1"/>
        <v>2767.433333</v>
      </c>
      <c r="K75" s="76">
        <f t="shared" si="5"/>
        <v>204353.4333</v>
      </c>
      <c r="L75" s="72">
        <f>L45*31</f>
        <v>216907</v>
      </c>
      <c r="M75" s="73" t="str">
        <f t="shared" si="2"/>
        <v>#N/A</v>
      </c>
      <c r="N75" s="74" t="str">
        <f t="shared" si="3"/>
        <v>#N/A</v>
      </c>
      <c r="O75" s="3"/>
      <c r="P75" s="3"/>
      <c r="Q75" s="4"/>
      <c r="R75" s="3"/>
      <c r="S75" s="3"/>
      <c r="T75" s="3"/>
      <c r="U75" s="3"/>
    </row>
    <row r="76">
      <c r="A76" s="3"/>
      <c r="B76" s="3"/>
      <c r="C76" s="3"/>
      <c r="D76" s="3"/>
      <c r="E76" s="15">
        <v>46283.0</v>
      </c>
      <c r="F76" s="16" t="s">
        <v>14</v>
      </c>
      <c r="G76" s="23">
        <v>2706.0</v>
      </c>
      <c r="H76" s="3"/>
      <c r="I76" s="3"/>
      <c r="J76" s="3"/>
      <c r="K76" s="3"/>
      <c r="L76" s="3"/>
      <c r="M76" s="3"/>
      <c r="N76" s="3"/>
      <c r="O76" s="3"/>
      <c r="P76" s="3"/>
      <c r="Q76" s="4"/>
      <c r="R76" s="3"/>
      <c r="S76" s="3"/>
      <c r="T76" s="3"/>
      <c r="U76" s="3"/>
    </row>
    <row r="77">
      <c r="A77" s="3"/>
      <c r="B77" s="3"/>
      <c r="C77" s="3"/>
      <c r="D77" s="3"/>
      <c r="E77" s="15">
        <v>46283.0</v>
      </c>
      <c r="F77" s="16" t="s">
        <v>17</v>
      </c>
      <c r="G77" s="23">
        <v>1000.0</v>
      </c>
      <c r="H77" s="3"/>
      <c r="I77" s="3"/>
      <c r="J77" s="3"/>
      <c r="K77" s="3"/>
      <c r="L77" s="3"/>
      <c r="M77" s="3"/>
      <c r="N77" s="3"/>
      <c r="O77" s="3"/>
      <c r="P77" s="3"/>
      <c r="Q77" s="4"/>
      <c r="R77" s="3"/>
      <c r="S77" s="3"/>
      <c r="T77" s="3"/>
      <c r="U77" s="3"/>
    </row>
    <row r="78">
      <c r="A78" s="3"/>
      <c r="B78" s="3"/>
      <c r="C78" s="3"/>
      <c r="D78" s="3"/>
      <c r="E78" s="15">
        <v>46284.0</v>
      </c>
      <c r="F78" s="16" t="s">
        <v>11</v>
      </c>
      <c r="G78" s="23">
        <v>750.0</v>
      </c>
      <c r="H78" s="3"/>
      <c r="I78" s="3"/>
      <c r="J78" s="3"/>
      <c r="K78" s="3"/>
      <c r="L78" s="3"/>
      <c r="M78" s="3"/>
      <c r="N78" s="3"/>
      <c r="O78" s="3"/>
      <c r="P78" s="3"/>
      <c r="Q78" s="4"/>
      <c r="R78" s="3"/>
      <c r="S78" s="3"/>
      <c r="T78" s="3"/>
      <c r="U78" s="3"/>
    </row>
    <row r="79">
      <c r="A79" s="3"/>
      <c r="B79" s="3"/>
      <c r="C79" s="3"/>
      <c r="D79" s="3"/>
      <c r="E79" s="15">
        <v>46284.0</v>
      </c>
      <c r="F79" s="16" t="s">
        <v>17</v>
      </c>
      <c r="G79" s="23">
        <v>1000.0</v>
      </c>
      <c r="H79" s="3"/>
      <c r="I79" s="3"/>
      <c r="J79" s="3"/>
      <c r="K79" s="3"/>
      <c r="L79" s="3"/>
      <c r="M79" s="3"/>
      <c r="N79" s="3"/>
      <c r="O79" s="3"/>
      <c r="P79" s="3"/>
      <c r="Q79" s="4"/>
      <c r="R79" s="3"/>
      <c r="S79" s="3"/>
      <c r="T79" s="3"/>
      <c r="U79" s="3"/>
    </row>
    <row r="80">
      <c r="A80" s="3"/>
      <c r="B80" s="3"/>
      <c r="C80" s="3"/>
      <c r="D80" s="3"/>
      <c r="E80" s="15">
        <v>46284.0</v>
      </c>
      <c r="F80" s="16" t="s">
        <v>17</v>
      </c>
      <c r="G80" s="23">
        <v>1000.0</v>
      </c>
      <c r="H80" s="3"/>
      <c r="I80" s="3"/>
      <c r="J80" s="3"/>
      <c r="K80" s="3"/>
      <c r="L80" s="3"/>
      <c r="M80" s="3"/>
      <c r="N80" s="3"/>
      <c r="O80" s="3"/>
      <c r="P80" s="3"/>
      <c r="Q80" s="4"/>
      <c r="R80" s="3"/>
      <c r="S80" s="3"/>
      <c r="T80" s="3"/>
      <c r="U80" s="3"/>
    </row>
    <row r="81">
      <c r="A81" s="3"/>
      <c r="B81" s="3"/>
      <c r="C81" s="3"/>
      <c r="D81" s="3"/>
      <c r="E81" s="15">
        <v>46285.0</v>
      </c>
      <c r="F81" s="16" t="s">
        <v>13</v>
      </c>
      <c r="G81" s="23">
        <v>129.0</v>
      </c>
      <c r="H81" s="3"/>
      <c r="I81" s="3"/>
      <c r="J81" s="3"/>
      <c r="K81" s="3"/>
      <c r="L81" s="3"/>
      <c r="M81" s="3"/>
      <c r="N81" s="3"/>
      <c r="O81" s="3"/>
      <c r="P81" s="3"/>
      <c r="Q81" s="4"/>
      <c r="R81" s="3"/>
      <c r="S81" s="3"/>
      <c r="T81" s="3"/>
      <c r="U81" s="3"/>
    </row>
    <row r="82">
      <c r="A82" s="3"/>
      <c r="B82" s="3"/>
      <c r="C82" s="3"/>
      <c r="D82" s="3"/>
      <c r="E82" s="15">
        <v>46285.0</v>
      </c>
      <c r="F82" s="16" t="s">
        <v>13</v>
      </c>
      <c r="G82" s="23">
        <v>1224.0</v>
      </c>
      <c r="H82" s="3"/>
      <c r="I82" s="3"/>
      <c r="J82" s="3"/>
      <c r="K82" s="3"/>
      <c r="L82" s="3"/>
      <c r="M82" s="3"/>
      <c r="N82" s="3"/>
      <c r="O82" s="3"/>
      <c r="P82" s="3"/>
      <c r="Q82" s="4"/>
      <c r="R82" s="3"/>
      <c r="S82" s="3"/>
      <c r="T82" s="3"/>
      <c r="U82" s="3"/>
    </row>
    <row r="83">
      <c r="A83" s="3"/>
      <c r="B83" s="3"/>
      <c r="C83" s="3"/>
      <c r="D83" s="3"/>
      <c r="E83" s="15">
        <v>46286.0</v>
      </c>
      <c r="F83" s="16" t="s">
        <v>11</v>
      </c>
      <c r="G83" s="23">
        <v>1400.0</v>
      </c>
      <c r="H83" s="3"/>
      <c r="I83" s="3"/>
      <c r="J83" s="3"/>
      <c r="K83" s="3"/>
      <c r="L83" s="3"/>
      <c r="M83" s="3"/>
      <c r="N83" s="3"/>
      <c r="O83" s="3"/>
      <c r="P83" s="3"/>
      <c r="Q83" s="4"/>
      <c r="R83" s="3"/>
      <c r="S83" s="3"/>
      <c r="T83" s="3"/>
      <c r="U83" s="3"/>
    </row>
    <row r="84">
      <c r="A84" s="3"/>
      <c r="B84" s="3"/>
      <c r="C84" s="3"/>
      <c r="D84" s="3"/>
      <c r="E84" s="15">
        <v>46286.0</v>
      </c>
      <c r="F84" s="16" t="s">
        <v>9</v>
      </c>
      <c r="G84" s="23">
        <v>1000.0</v>
      </c>
      <c r="H84" s="3"/>
      <c r="I84" s="3"/>
      <c r="J84" s="3"/>
      <c r="K84" s="3"/>
      <c r="L84" s="3"/>
      <c r="M84" s="3"/>
      <c r="N84" s="3"/>
      <c r="O84" s="3"/>
      <c r="P84" s="3"/>
      <c r="Q84" s="4"/>
      <c r="R84" s="3"/>
      <c r="S84" s="3"/>
      <c r="T84" s="3"/>
      <c r="U84" s="3"/>
    </row>
    <row r="85">
      <c r="A85" s="3"/>
      <c r="B85" s="3"/>
      <c r="C85" s="3"/>
      <c r="D85" s="3"/>
      <c r="E85" s="15">
        <v>46286.0</v>
      </c>
      <c r="F85" s="16" t="s">
        <v>11</v>
      </c>
      <c r="G85" s="23">
        <v>3000.0</v>
      </c>
      <c r="H85" s="3"/>
      <c r="I85" s="3"/>
      <c r="J85" s="3"/>
      <c r="K85" s="3"/>
      <c r="L85" s="3"/>
      <c r="M85" s="3"/>
      <c r="N85" s="3"/>
      <c r="O85" s="3"/>
      <c r="P85" s="3"/>
      <c r="Q85" s="4"/>
      <c r="R85" s="3"/>
      <c r="S85" s="3"/>
      <c r="T85" s="3"/>
      <c r="U85" s="3"/>
    </row>
    <row r="86">
      <c r="A86" s="3"/>
      <c r="B86" s="3"/>
      <c r="C86" s="3"/>
      <c r="D86" s="3"/>
      <c r="E86" s="15">
        <v>46286.0</v>
      </c>
      <c r="F86" s="16" t="s">
        <v>9</v>
      </c>
      <c r="G86" s="23">
        <v>3800.0</v>
      </c>
      <c r="H86" s="3"/>
      <c r="I86" s="3"/>
      <c r="J86" s="3"/>
      <c r="K86" s="3"/>
      <c r="L86" s="3"/>
      <c r="M86" s="3"/>
      <c r="N86" s="3"/>
      <c r="O86" s="3"/>
      <c r="P86" s="3"/>
      <c r="Q86" s="4"/>
      <c r="R86" s="3"/>
      <c r="S86" s="3"/>
      <c r="T86" s="3"/>
      <c r="U86" s="3"/>
    </row>
    <row r="87">
      <c r="A87" s="3"/>
      <c r="B87" s="3"/>
      <c r="C87" s="3"/>
      <c r="D87" s="3"/>
      <c r="E87" s="15">
        <v>46286.0</v>
      </c>
      <c r="F87" s="16" t="s">
        <v>11</v>
      </c>
      <c r="G87" s="23">
        <v>3250.0</v>
      </c>
      <c r="H87" s="3"/>
      <c r="I87" s="3"/>
      <c r="J87" s="3"/>
      <c r="K87" s="3"/>
      <c r="L87" s="3"/>
      <c r="M87" s="3"/>
      <c r="N87" s="3"/>
      <c r="O87" s="3"/>
      <c r="P87" s="3"/>
      <c r="Q87" s="4"/>
      <c r="R87" s="3"/>
      <c r="S87" s="3"/>
      <c r="T87" s="3"/>
      <c r="U87" s="3"/>
    </row>
    <row r="88">
      <c r="A88" s="3"/>
      <c r="B88" s="3"/>
      <c r="C88" s="3"/>
      <c r="D88" s="3"/>
      <c r="E88" s="15">
        <v>46286.0</v>
      </c>
      <c r="F88" s="16" t="s">
        <v>13</v>
      </c>
      <c r="G88" s="23">
        <v>756.0</v>
      </c>
      <c r="H88" s="3"/>
      <c r="I88" s="3"/>
      <c r="J88" s="3"/>
      <c r="K88" s="3"/>
      <c r="L88" s="3"/>
      <c r="M88" s="3"/>
      <c r="N88" s="3"/>
      <c r="O88" s="3"/>
      <c r="P88" s="3"/>
      <c r="Q88" s="4"/>
      <c r="R88" s="3"/>
      <c r="S88" s="3"/>
      <c r="T88" s="3"/>
      <c r="U88" s="3"/>
    </row>
    <row r="89">
      <c r="A89" s="3"/>
      <c r="B89" s="3"/>
      <c r="C89" s="3"/>
      <c r="D89" s="3"/>
      <c r="E89" s="15">
        <v>46288.0</v>
      </c>
      <c r="F89" s="16" t="s">
        <v>13</v>
      </c>
      <c r="G89" s="23">
        <v>280.0</v>
      </c>
      <c r="H89" s="3"/>
      <c r="I89" s="3"/>
      <c r="J89" s="3"/>
      <c r="K89" s="3"/>
      <c r="L89" s="3"/>
      <c r="M89" s="3"/>
      <c r="N89" s="3"/>
      <c r="O89" s="3"/>
      <c r="P89" s="3"/>
      <c r="Q89" s="4"/>
      <c r="R89" s="3"/>
      <c r="S89" s="3"/>
      <c r="T89" s="3"/>
      <c r="U89" s="3"/>
    </row>
    <row r="90">
      <c r="A90" s="3"/>
      <c r="B90" s="3"/>
      <c r="C90" s="3"/>
      <c r="D90" s="3"/>
      <c r="E90" s="15">
        <v>46288.0</v>
      </c>
      <c r="F90" s="16" t="s">
        <v>28</v>
      </c>
      <c r="G90" s="23">
        <v>3069.0</v>
      </c>
      <c r="H90" s="3"/>
      <c r="I90" s="3"/>
      <c r="J90" s="3"/>
      <c r="K90" s="3"/>
      <c r="L90" s="3"/>
      <c r="M90" s="3"/>
      <c r="N90" s="3"/>
      <c r="O90" s="3"/>
      <c r="P90" s="3"/>
      <c r="Q90" s="4"/>
      <c r="R90" s="3"/>
      <c r="S90" s="3"/>
      <c r="T90" s="3"/>
      <c r="U90" s="3"/>
    </row>
    <row r="91">
      <c r="A91" s="3"/>
      <c r="B91" s="3"/>
      <c r="C91" s="3"/>
      <c r="D91" s="3"/>
      <c r="E91" s="15">
        <v>46288.0</v>
      </c>
      <c r="F91" s="16" t="s">
        <v>13</v>
      </c>
      <c r="G91" s="23">
        <v>1016.0</v>
      </c>
      <c r="H91" s="3"/>
      <c r="I91" s="3"/>
      <c r="J91" s="3"/>
      <c r="K91" s="3"/>
      <c r="L91" s="3"/>
      <c r="M91" s="3"/>
      <c r="N91" s="3"/>
      <c r="O91" s="3"/>
      <c r="P91" s="3"/>
      <c r="Q91" s="4"/>
      <c r="R91" s="3"/>
      <c r="S91" s="3"/>
      <c r="T91" s="3"/>
      <c r="U91" s="3"/>
    </row>
    <row r="92">
      <c r="A92" s="3"/>
      <c r="B92" s="3"/>
      <c r="C92" s="3"/>
      <c r="D92" s="3"/>
      <c r="E92" s="15">
        <v>46288.0</v>
      </c>
      <c r="F92" s="16" t="s">
        <v>17</v>
      </c>
      <c r="G92" s="23">
        <v>1000.0</v>
      </c>
      <c r="H92" s="3"/>
      <c r="I92" s="3"/>
      <c r="J92" s="3"/>
      <c r="K92" s="3"/>
      <c r="L92" s="3"/>
      <c r="M92" s="3"/>
      <c r="N92" s="3"/>
      <c r="O92" s="3"/>
      <c r="P92" s="3"/>
      <c r="Q92" s="4"/>
      <c r="R92" s="3"/>
      <c r="S92" s="3"/>
      <c r="T92" s="3"/>
      <c r="U92" s="3"/>
    </row>
    <row r="93">
      <c r="A93" s="3"/>
      <c r="B93" s="3"/>
      <c r="C93" s="3"/>
      <c r="D93" s="3"/>
      <c r="E93" s="15">
        <v>46289.0</v>
      </c>
      <c r="F93" s="16" t="s">
        <v>17</v>
      </c>
      <c r="G93" s="23">
        <v>100.0</v>
      </c>
      <c r="H93" s="3"/>
      <c r="I93" s="3"/>
      <c r="J93" s="3"/>
      <c r="K93" s="3"/>
      <c r="L93" s="3"/>
      <c r="M93" s="3"/>
      <c r="N93" s="3"/>
      <c r="O93" s="3"/>
      <c r="P93" s="3"/>
      <c r="Q93" s="4"/>
      <c r="R93" s="3"/>
      <c r="S93" s="3"/>
      <c r="T93" s="3"/>
      <c r="U93" s="3"/>
    </row>
    <row r="94">
      <c r="A94" s="3"/>
      <c r="B94" s="3"/>
      <c r="C94" s="3"/>
      <c r="D94" s="3"/>
      <c r="E94" s="15">
        <v>46289.0</v>
      </c>
      <c r="F94" s="16" t="s">
        <v>40</v>
      </c>
      <c r="G94" s="23">
        <v>225.0</v>
      </c>
      <c r="H94" s="3"/>
      <c r="I94" s="3"/>
      <c r="J94" s="3"/>
      <c r="K94" s="3"/>
      <c r="L94" s="3"/>
      <c r="M94" s="3"/>
      <c r="N94" s="3"/>
      <c r="O94" s="3"/>
      <c r="P94" s="3"/>
      <c r="Q94" s="4"/>
      <c r="R94" s="3"/>
      <c r="S94" s="3"/>
      <c r="T94" s="3"/>
      <c r="U94" s="3"/>
    </row>
    <row r="95">
      <c r="A95" s="3"/>
      <c r="B95" s="3"/>
      <c r="C95" s="3"/>
      <c r="D95" s="3"/>
      <c r="E95" s="15"/>
      <c r="F95" s="16"/>
      <c r="G95" s="23"/>
      <c r="H95" s="3"/>
      <c r="I95" s="3"/>
      <c r="J95" s="3"/>
      <c r="K95" s="3"/>
      <c r="L95" s="3"/>
      <c r="M95" s="3"/>
      <c r="N95" s="3"/>
      <c r="O95" s="3"/>
      <c r="P95" s="3"/>
      <c r="Q95" s="4"/>
      <c r="R95" s="3"/>
      <c r="S95" s="3"/>
      <c r="T95" s="3"/>
      <c r="U95" s="3"/>
    </row>
    <row r="96">
      <c r="A96" s="3"/>
      <c r="B96" s="3"/>
      <c r="C96" s="3"/>
      <c r="D96" s="3"/>
      <c r="E96" s="15"/>
      <c r="F96" s="16"/>
      <c r="G96" s="23"/>
      <c r="H96" s="3"/>
      <c r="I96" s="3"/>
      <c r="J96" s="3"/>
      <c r="K96" s="3"/>
      <c r="L96" s="3"/>
      <c r="M96" s="3"/>
      <c r="N96" s="3"/>
      <c r="O96" s="3"/>
      <c r="P96" s="3"/>
      <c r="Q96" s="4"/>
      <c r="R96" s="3"/>
      <c r="S96" s="3"/>
      <c r="T96" s="3"/>
      <c r="U96" s="3"/>
    </row>
    <row r="97">
      <c r="A97" s="3"/>
      <c r="B97" s="3"/>
      <c r="C97" s="3"/>
      <c r="D97" s="3"/>
      <c r="E97" s="15"/>
      <c r="F97" s="16"/>
      <c r="G97" s="23"/>
      <c r="H97" s="3"/>
      <c r="I97" s="3"/>
      <c r="J97" s="3"/>
      <c r="K97" s="3"/>
      <c r="L97" s="3"/>
      <c r="M97" s="3"/>
      <c r="N97" s="3"/>
      <c r="O97" s="3"/>
      <c r="P97" s="3"/>
      <c r="Q97" s="4"/>
      <c r="R97" s="3"/>
      <c r="S97" s="3"/>
      <c r="T97" s="3"/>
      <c r="U97" s="3"/>
    </row>
    <row r="98">
      <c r="A98" s="3"/>
      <c r="B98" s="3"/>
      <c r="C98" s="3"/>
      <c r="D98" s="3"/>
      <c r="E98" s="15"/>
      <c r="F98" s="16"/>
      <c r="G98" s="23"/>
      <c r="H98" s="3"/>
      <c r="I98" s="3"/>
      <c r="J98" s="3"/>
      <c r="K98" s="3"/>
      <c r="L98" s="3"/>
      <c r="M98" s="3"/>
      <c r="N98" s="3"/>
      <c r="O98" s="3"/>
      <c r="P98" s="3"/>
      <c r="Q98" s="4"/>
      <c r="R98" s="3"/>
      <c r="S98" s="3"/>
      <c r="T98" s="3"/>
      <c r="U98" s="3"/>
    </row>
    <row r="99">
      <c r="A99" s="3"/>
      <c r="B99" s="3"/>
      <c r="C99" s="3"/>
      <c r="D99" s="3"/>
      <c r="E99" s="15"/>
      <c r="F99" s="16"/>
      <c r="G99" s="23"/>
      <c r="H99" s="3"/>
      <c r="I99" s="3"/>
      <c r="J99" s="3"/>
      <c r="K99" s="3"/>
      <c r="L99" s="3"/>
      <c r="M99" s="3"/>
      <c r="N99" s="3"/>
      <c r="O99" s="3"/>
      <c r="P99" s="3"/>
      <c r="Q99" s="4"/>
      <c r="R99" s="3"/>
      <c r="S99" s="3"/>
      <c r="T99" s="3"/>
      <c r="U99" s="3"/>
    </row>
    <row r="100">
      <c r="A100" s="3"/>
      <c r="B100" s="3"/>
      <c r="C100" s="3"/>
      <c r="D100" s="3"/>
      <c r="E100" s="15"/>
      <c r="F100" s="16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3"/>
      <c r="S100" s="3"/>
      <c r="T100" s="3"/>
      <c r="U100" s="3"/>
    </row>
    <row r="101">
      <c r="A101" s="3"/>
      <c r="B101" s="3"/>
      <c r="C101" s="3"/>
      <c r="D101" s="3"/>
      <c r="E101" s="15"/>
      <c r="F101" s="16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3"/>
      <c r="S101" s="3"/>
      <c r="T101" s="3"/>
      <c r="U101" s="3"/>
    </row>
    <row r="102">
      <c r="A102" s="3"/>
      <c r="B102" s="3"/>
      <c r="C102" s="3"/>
      <c r="D102" s="3"/>
      <c r="E102" s="15"/>
      <c r="F102" s="16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4"/>
      <c r="R102" s="3"/>
      <c r="S102" s="3"/>
      <c r="T102" s="3"/>
      <c r="U102" s="3"/>
    </row>
    <row r="103">
      <c r="A103" s="3"/>
      <c r="B103" s="3"/>
      <c r="C103" s="3"/>
      <c r="D103" s="3"/>
      <c r="E103" s="15"/>
      <c r="F103" s="16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3"/>
      <c r="S103" s="3"/>
      <c r="T103" s="3"/>
      <c r="U103" s="3"/>
    </row>
    <row r="104">
      <c r="A104" s="3"/>
      <c r="B104" s="3"/>
      <c r="C104" s="3"/>
      <c r="D104" s="3"/>
      <c r="E104" s="15"/>
      <c r="F104" s="16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4"/>
      <c r="R104" s="3"/>
      <c r="S104" s="3"/>
      <c r="T104" s="3"/>
      <c r="U104" s="3"/>
    </row>
    <row r="105">
      <c r="A105" s="3"/>
      <c r="B105" s="3"/>
      <c r="C105" s="3"/>
      <c r="D105" s="3"/>
      <c r="E105" s="15"/>
      <c r="F105" s="16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3"/>
      <c r="S105" s="3"/>
      <c r="T105" s="3"/>
      <c r="U105" s="3"/>
    </row>
    <row r="106">
      <c r="A106" s="3"/>
      <c r="B106" s="3"/>
      <c r="C106" s="3"/>
      <c r="D106" s="3"/>
      <c r="E106" s="15"/>
      <c r="F106" s="16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3"/>
      <c r="S106" s="3"/>
      <c r="T106" s="3"/>
      <c r="U106" s="3"/>
    </row>
    <row r="107">
      <c r="A107" s="3"/>
      <c r="B107" s="3"/>
      <c r="C107" s="3"/>
      <c r="D107" s="3"/>
      <c r="E107" s="15"/>
      <c r="F107" s="16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3"/>
      <c r="S107" s="3"/>
      <c r="T107" s="3"/>
      <c r="U107" s="3"/>
    </row>
    <row r="108">
      <c r="A108" s="3"/>
      <c r="B108" s="3"/>
      <c r="C108" s="3"/>
      <c r="D108" s="3"/>
      <c r="E108" s="15"/>
      <c r="F108" s="16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3"/>
      <c r="S108" s="3"/>
      <c r="T108" s="3"/>
      <c r="U108" s="3"/>
    </row>
    <row r="109">
      <c r="A109" s="3"/>
      <c r="B109" s="3"/>
      <c r="C109" s="3"/>
      <c r="D109" s="3"/>
      <c r="E109" s="15"/>
      <c r="F109" s="16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3"/>
      <c r="S109" s="3"/>
      <c r="T109" s="3"/>
      <c r="U109" s="3"/>
    </row>
    <row r="110">
      <c r="A110" s="3"/>
      <c r="B110" s="3"/>
      <c r="C110" s="3"/>
      <c r="D110" s="3"/>
      <c r="E110" s="15"/>
      <c r="F110" s="16"/>
      <c r="G110" s="2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3"/>
      <c r="S110" s="3"/>
      <c r="T110" s="3"/>
      <c r="U110" s="3"/>
    </row>
    <row r="111">
      <c r="A111" s="3"/>
      <c r="B111" s="3"/>
      <c r="C111" s="3"/>
      <c r="D111" s="3"/>
      <c r="E111" s="15"/>
      <c r="F111" s="16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3"/>
      <c r="S111" s="3"/>
      <c r="T111" s="3"/>
      <c r="U111" s="3"/>
    </row>
    <row r="112">
      <c r="A112" s="3"/>
      <c r="B112" s="3"/>
      <c r="C112" s="3"/>
      <c r="D112" s="3"/>
      <c r="E112" s="15"/>
      <c r="F112" s="16"/>
      <c r="G112" s="2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3"/>
      <c r="S112" s="3"/>
      <c r="T112" s="3"/>
      <c r="U112" s="3"/>
    </row>
    <row r="113">
      <c r="A113" s="3"/>
      <c r="B113" s="3"/>
      <c r="C113" s="3"/>
      <c r="D113" s="3"/>
      <c r="E113" s="15"/>
      <c r="F113" s="16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4"/>
      <c r="R113" s="3"/>
      <c r="S113" s="3"/>
      <c r="T113" s="3"/>
      <c r="U113" s="3"/>
    </row>
    <row r="114">
      <c r="A114" s="3"/>
      <c r="B114" s="3"/>
      <c r="C114" s="3"/>
      <c r="D114" s="3"/>
      <c r="E114" s="15"/>
      <c r="F114" s="16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3"/>
      <c r="S114" s="3"/>
      <c r="T114" s="3"/>
      <c r="U114" s="3"/>
    </row>
    <row r="115">
      <c r="A115" s="3"/>
      <c r="B115" s="3"/>
      <c r="C115" s="3"/>
      <c r="D115" s="3"/>
      <c r="E115" s="15"/>
      <c r="F115" s="16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4"/>
      <c r="R115" s="3"/>
      <c r="S115" s="3"/>
      <c r="T115" s="3"/>
      <c r="U115" s="3"/>
    </row>
    <row r="116">
      <c r="A116" s="3"/>
      <c r="B116" s="3"/>
      <c r="C116" s="3"/>
      <c r="D116" s="3"/>
      <c r="E116" s="15"/>
      <c r="F116" s="16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3"/>
      <c r="S116" s="3"/>
      <c r="T116" s="3"/>
      <c r="U116" s="3"/>
    </row>
    <row r="117">
      <c r="A117" s="3"/>
      <c r="B117" s="3"/>
      <c r="C117" s="3"/>
      <c r="D117" s="3"/>
      <c r="E117" s="78"/>
      <c r="F117" s="79"/>
      <c r="G117" s="18"/>
      <c r="H117" s="3"/>
      <c r="I117" s="3"/>
      <c r="J117" s="3"/>
      <c r="K117" s="3"/>
      <c r="L117" s="3"/>
      <c r="M117" s="3"/>
      <c r="N117" s="3"/>
      <c r="O117" s="3"/>
      <c r="P117" s="3"/>
      <c r="Q117" s="4"/>
      <c r="R117" s="3"/>
      <c r="S117" s="3"/>
      <c r="T117" s="3"/>
      <c r="U117" s="3"/>
    </row>
    <row r="118">
      <c r="A118" s="3"/>
      <c r="B118" s="3"/>
      <c r="C118" s="3"/>
      <c r="D118" s="3"/>
      <c r="E118" s="78"/>
      <c r="F118" s="79"/>
      <c r="G118" s="18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3"/>
      <c r="S118" s="3"/>
      <c r="T118" s="3"/>
      <c r="U118" s="3"/>
    </row>
    <row r="119">
      <c r="A119" s="3"/>
      <c r="B119" s="3"/>
      <c r="C119" s="3"/>
      <c r="D119" s="3"/>
      <c r="E119" s="78"/>
      <c r="F119" s="79"/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4"/>
      <c r="R119" s="3"/>
      <c r="S119" s="3"/>
      <c r="T119" s="3"/>
      <c r="U119" s="3"/>
    </row>
    <row r="120">
      <c r="A120" s="3"/>
      <c r="B120" s="3"/>
      <c r="C120" s="3"/>
      <c r="D120" s="3"/>
      <c r="E120" s="78"/>
      <c r="F120" s="79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4"/>
      <c r="R120" s="3"/>
      <c r="S120" s="3"/>
      <c r="T120" s="3"/>
      <c r="U120" s="3"/>
    </row>
    <row r="121">
      <c r="A121" s="3"/>
      <c r="B121" s="3"/>
      <c r="C121" s="3"/>
      <c r="D121" s="3"/>
      <c r="E121" s="78"/>
      <c r="F121" s="79"/>
      <c r="G121" s="18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3"/>
      <c r="S121" s="3"/>
      <c r="T121" s="3"/>
      <c r="U121" s="3"/>
    </row>
    <row r="122">
      <c r="A122" s="3"/>
      <c r="B122" s="3"/>
      <c r="C122" s="3"/>
      <c r="D122" s="3"/>
      <c r="E122" s="78"/>
      <c r="F122" s="16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3"/>
      <c r="S122" s="3"/>
      <c r="T122" s="3"/>
      <c r="U122" s="3"/>
    </row>
    <row r="123">
      <c r="A123" s="3"/>
      <c r="B123" s="3"/>
      <c r="C123" s="3"/>
      <c r="D123" s="3"/>
      <c r="E123" s="78"/>
      <c r="F123" s="16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3"/>
      <c r="S123" s="3"/>
      <c r="T123" s="3"/>
      <c r="U123" s="3"/>
    </row>
    <row r="124">
      <c r="A124" s="3"/>
      <c r="B124" s="3"/>
      <c r="C124" s="3"/>
      <c r="D124" s="3"/>
      <c r="E124" s="78"/>
      <c r="F124" s="16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3"/>
      <c r="S124" s="3"/>
      <c r="T124" s="3"/>
      <c r="U124" s="3"/>
    </row>
    <row r="125">
      <c r="A125" s="3"/>
      <c r="B125" s="3"/>
      <c r="C125" s="3"/>
      <c r="D125" s="3"/>
      <c r="E125" s="78"/>
      <c r="F125" s="16"/>
      <c r="G125" s="2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3"/>
      <c r="S125" s="3"/>
      <c r="T125" s="3"/>
      <c r="U125" s="3"/>
    </row>
    <row r="126">
      <c r="A126" s="3"/>
      <c r="B126" s="3"/>
      <c r="C126" s="3"/>
      <c r="D126" s="3"/>
      <c r="E126" s="78"/>
      <c r="F126" s="16"/>
      <c r="G126" s="2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3"/>
      <c r="S126" s="3"/>
      <c r="T126" s="3"/>
      <c r="U126" s="3"/>
    </row>
    <row r="127">
      <c r="A127" s="3"/>
      <c r="B127" s="3"/>
      <c r="C127" s="3"/>
      <c r="D127" s="3"/>
      <c r="E127" s="78"/>
      <c r="F127" s="16"/>
      <c r="G127" s="2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3"/>
      <c r="S127" s="3"/>
      <c r="T127" s="3"/>
      <c r="U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128638</v>
      </c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3"/>
      <c r="S128" s="3"/>
      <c r="T128" s="3"/>
      <c r="U128" s="3"/>
    </row>
    <row r="129">
      <c r="A129" s="3"/>
      <c r="B129" s="3"/>
      <c r="C129" s="3"/>
      <c r="D129" s="3"/>
      <c r="E129" s="4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3"/>
      <c r="S129" s="3"/>
      <c r="T129" s="3"/>
      <c r="U129" s="3"/>
    </row>
    <row r="130">
      <c r="A130" s="3"/>
      <c r="B130" s="3"/>
      <c r="C130" s="3"/>
      <c r="D130" s="3"/>
      <c r="E130" s="4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3"/>
      <c r="S130" s="3"/>
      <c r="T130" s="3"/>
      <c r="U130" s="3"/>
    </row>
    <row r="131">
      <c r="A131" s="3"/>
      <c r="B131" s="3"/>
      <c r="C131" s="3"/>
      <c r="D131" s="3"/>
      <c r="E131" s="4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3"/>
      <c r="S131" s="3"/>
      <c r="T131" s="3"/>
      <c r="U131" s="3"/>
    </row>
    <row r="132">
      <c r="A132" s="3"/>
      <c r="B132" s="3"/>
      <c r="C132" s="3"/>
      <c r="D132" s="3"/>
      <c r="E132" s="4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4"/>
      <c r="R132" s="3"/>
      <c r="S132" s="3"/>
      <c r="T132" s="3"/>
      <c r="U132" s="3"/>
    </row>
    <row r="133">
      <c r="A133" s="3"/>
      <c r="B133" s="3"/>
      <c r="C133" s="3"/>
      <c r="D133" s="3"/>
      <c r="E133" s="4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4"/>
      <c r="R133" s="3"/>
      <c r="S133" s="3"/>
      <c r="T133" s="3"/>
      <c r="U133" s="3"/>
    </row>
    <row r="134">
      <c r="A134" s="3"/>
      <c r="B134" s="3"/>
      <c r="C134" s="3"/>
      <c r="D134" s="3"/>
      <c r="E134" s="4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4"/>
      <c r="R134" s="3"/>
      <c r="S134" s="3"/>
      <c r="T134" s="3"/>
      <c r="U134" s="3"/>
    </row>
    <row r="135">
      <c r="A135" s="3"/>
      <c r="B135" s="3"/>
      <c r="C135" s="3"/>
      <c r="D135" s="3"/>
      <c r="E135" s="4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3"/>
      <c r="S135" s="3"/>
      <c r="T135" s="3"/>
      <c r="U135" s="3"/>
    </row>
    <row r="136">
      <c r="A136" s="3"/>
      <c r="B136" s="3"/>
      <c r="C136" s="3"/>
      <c r="D136" s="3"/>
      <c r="E136" s="4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3"/>
      <c r="S136" s="3"/>
      <c r="T136" s="3"/>
      <c r="U136" s="3"/>
    </row>
    <row r="137">
      <c r="A137" s="3"/>
      <c r="B137" s="3"/>
      <c r="C137" s="3"/>
      <c r="D137" s="3"/>
      <c r="E137" s="4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3"/>
      <c r="S137" s="3"/>
      <c r="T137" s="3"/>
      <c r="U137" s="3"/>
    </row>
    <row r="138">
      <c r="A138" s="3"/>
      <c r="B138" s="3"/>
      <c r="C138" s="3"/>
      <c r="D138" s="3"/>
      <c r="E138" s="4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3"/>
      <c r="S138" s="3"/>
      <c r="T138" s="3"/>
      <c r="U138" s="3"/>
    </row>
    <row r="139">
      <c r="A139" s="3"/>
      <c r="B139" s="3"/>
      <c r="C139" s="3"/>
      <c r="D139" s="3"/>
      <c r="E139" s="4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3"/>
      <c r="S139" s="3"/>
      <c r="T139" s="3"/>
      <c r="U139" s="3"/>
    </row>
    <row r="140">
      <c r="A140" s="3"/>
      <c r="B140" s="3"/>
      <c r="C140" s="3"/>
      <c r="D140" s="3"/>
      <c r="E140" s="4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3"/>
      <c r="S140" s="3"/>
      <c r="T140" s="3"/>
      <c r="U140" s="3"/>
    </row>
    <row r="141">
      <c r="A141" s="3"/>
      <c r="B141" s="3"/>
      <c r="C141" s="3"/>
      <c r="D141" s="3"/>
      <c r="E141" s="4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3"/>
      <c r="S141" s="3"/>
      <c r="T141" s="3"/>
      <c r="U141" s="3"/>
    </row>
    <row r="142">
      <c r="A142" s="3"/>
      <c r="B142" s="3"/>
      <c r="C142" s="3"/>
      <c r="D142" s="3"/>
      <c r="E142" s="4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3"/>
      <c r="S142" s="3"/>
      <c r="T142" s="3"/>
      <c r="U142" s="3"/>
    </row>
    <row r="143">
      <c r="A143" s="3"/>
      <c r="B143" s="3"/>
      <c r="C143" s="3"/>
      <c r="D143" s="3"/>
      <c r="E143" s="4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3"/>
      <c r="S143" s="3"/>
      <c r="T143" s="3"/>
      <c r="U143" s="3"/>
    </row>
    <row r="144">
      <c r="A144" s="3"/>
      <c r="B144" s="3"/>
      <c r="C144" s="3"/>
      <c r="D144" s="3"/>
      <c r="E144" s="4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3"/>
      <c r="S144" s="3"/>
      <c r="T144" s="3"/>
      <c r="U144" s="3"/>
    </row>
    <row r="145">
      <c r="A145" s="3"/>
      <c r="B145" s="3"/>
      <c r="C145" s="3"/>
      <c r="D145" s="3"/>
      <c r="E145" s="4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3"/>
      <c r="S145" s="3"/>
      <c r="T145" s="3"/>
      <c r="U145" s="3"/>
    </row>
    <row r="146">
      <c r="A146" s="3"/>
      <c r="B146" s="3"/>
      <c r="C146" s="3"/>
      <c r="D146" s="3"/>
      <c r="E146" s="4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3"/>
      <c r="S146" s="3"/>
      <c r="T146" s="3"/>
      <c r="U146" s="3"/>
    </row>
    <row r="147">
      <c r="A147" s="3"/>
      <c r="B147" s="3"/>
      <c r="C147" s="3"/>
      <c r="D147" s="3"/>
      <c r="E147" s="4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3"/>
      <c r="S147" s="3"/>
      <c r="T147" s="3"/>
      <c r="U147" s="3"/>
    </row>
    <row r="148">
      <c r="A148" s="3"/>
      <c r="B148" s="3"/>
      <c r="C148" s="3"/>
      <c r="D148" s="3"/>
      <c r="E148" s="4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3"/>
      <c r="S148" s="3"/>
      <c r="T148" s="3"/>
      <c r="U148" s="3"/>
    </row>
    <row r="149">
      <c r="A149" s="3"/>
      <c r="B149" s="3"/>
      <c r="C149" s="3"/>
      <c r="D149" s="3"/>
      <c r="E149" s="4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3"/>
      <c r="S149" s="3"/>
      <c r="T149" s="3"/>
      <c r="U149" s="3"/>
    </row>
    <row r="150">
      <c r="A150" s="3"/>
      <c r="B150" s="3"/>
      <c r="C150" s="3"/>
      <c r="D150" s="3"/>
      <c r="E150" s="4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3"/>
      <c r="S150" s="3"/>
      <c r="T150" s="3"/>
      <c r="U150" s="3"/>
    </row>
    <row r="151">
      <c r="A151" s="3"/>
      <c r="B151" s="3"/>
      <c r="C151" s="3"/>
      <c r="D151" s="3"/>
      <c r="E151" s="4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3"/>
      <c r="S151" s="3"/>
      <c r="T151" s="3"/>
      <c r="U151" s="3"/>
    </row>
    <row r="152">
      <c r="A152" s="3"/>
      <c r="B152" s="3"/>
      <c r="C152" s="3"/>
      <c r="D152" s="3"/>
      <c r="E152" s="4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3"/>
      <c r="S152" s="3"/>
      <c r="T152" s="3"/>
      <c r="U152" s="3"/>
    </row>
    <row r="153">
      <c r="A153" s="3"/>
      <c r="B153" s="3"/>
      <c r="C153" s="3"/>
      <c r="D153" s="3"/>
      <c r="E153" s="4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3"/>
      <c r="S153" s="3"/>
      <c r="T153" s="3"/>
      <c r="U153" s="3"/>
    </row>
    <row r="154">
      <c r="A154" s="3"/>
      <c r="B154" s="3"/>
      <c r="C154" s="3"/>
      <c r="D154" s="3"/>
      <c r="E154" s="4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3"/>
      <c r="S154" s="3"/>
      <c r="T154" s="3"/>
      <c r="U154" s="3"/>
    </row>
    <row r="155">
      <c r="A155" s="3"/>
      <c r="B155" s="3"/>
      <c r="C155" s="3"/>
      <c r="D155" s="3"/>
      <c r="E155" s="4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3"/>
      <c r="S155" s="3"/>
      <c r="T155" s="3"/>
      <c r="U155" s="3"/>
    </row>
    <row r="156">
      <c r="A156" s="3"/>
      <c r="B156" s="3"/>
      <c r="C156" s="3"/>
      <c r="D156" s="3"/>
      <c r="E156" s="4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3"/>
      <c r="S156" s="3"/>
      <c r="T156" s="3"/>
      <c r="U156" s="3"/>
    </row>
    <row r="157">
      <c r="A157" s="3"/>
      <c r="B157" s="3"/>
      <c r="C157" s="3"/>
      <c r="D157" s="3"/>
      <c r="E157" s="4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3"/>
      <c r="S157" s="3"/>
      <c r="T157" s="3"/>
      <c r="U157" s="3"/>
    </row>
    <row r="158">
      <c r="A158" s="3"/>
      <c r="B158" s="3"/>
      <c r="C158" s="3"/>
      <c r="D158" s="3"/>
      <c r="E158" s="4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3"/>
      <c r="S158" s="3"/>
      <c r="T158" s="3"/>
      <c r="U158" s="3"/>
    </row>
    <row r="159">
      <c r="A159" s="3"/>
      <c r="B159" s="3"/>
      <c r="C159" s="3"/>
      <c r="D159" s="3"/>
      <c r="E159" s="4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3"/>
      <c r="S159" s="3"/>
      <c r="T159" s="3"/>
      <c r="U159" s="3"/>
    </row>
    <row r="160">
      <c r="A160" s="3"/>
      <c r="B160" s="3"/>
      <c r="C160" s="3"/>
      <c r="D160" s="3"/>
      <c r="E160" s="4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3"/>
      <c r="S160" s="3"/>
      <c r="T160" s="3"/>
      <c r="U160" s="3"/>
    </row>
    <row r="161">
      <c r="A161" s="3"/>
      <c r="B161" s="3"/>
      <c r="C161" s="3"/>
      <c r="D161" s="3"/>
      <c r="E161" s="4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3"/>
      <c r="S161" s="3"/>
      <c r="T161" s="3"/>
      <c r="U161" s="3"/>
    </row>
    <row r="162">
      <c r="A162" s="3"/>
      <c r="B162" s="3"/>
      <c r="C162" s="3"/>
      <c r="D162" s="3"/>
      <c r="E162" s="4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3"/>
      <c r="S162" s="3"/>
      <c r="T162" s="3"/>
      <c r="U162" s="3"/>
    </row>
    <row r="163">
      <c r="A163" s="3"/>
      <c r="B163" s="3"/>
      <c r="C163" s="3"/>
      <c r="D163" s="3"/>
      <c r="E163" s="4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3"/>
      <c r="S163" s="3"/>
      <c r="T163" s="3"/>
      <c r="U163" s="3"/>
    </row>
    <row r="164">
      <c r="A164" s="3"/>
      <c r="B164" s="3"/>
      <c r="C164" s="3"/>
      <c r="D164" s="3"/>
      <c r="E164" s="4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4"/>
      <c r="R164" s="3"/>
      <c r="S164" s="3"/>
      <c r="T164" s="3"/>
      <c r="U164" s="3"/>
    </row>
    <row r="165">
      <c r="A165" s="3"/>
      <c r="B165" s="3"/>
      <c r="C165" s="3"/>
      <c r="D165" s="3"/>
      <c r="E165" s="4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4"/>
      <c r="R165" s="3"/>
      <c r="S165" s="3"/>
      <c r="T165" s="3"/>
      <c r="U165" s="3"/>
    </row>
    <row r="166">
      <c r="A166" s="3"/>
      <c r="B166" s="3"/>
      <c r="C166" s="3"/>
      <c r="D166" s="3"/>
      <c r="E166" s="4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4"/>
      <c r="R166" s="3"/>
      <c r="S166" s="3"/>
      <c r="T166" s="3"/>
      <c r="U166" s="3"/>
    </row>
    <row r="167">
      <c r="A167" s="3"/>
      <c r="B167" s="3"/>
      <c r="C167" s="3"/>
      <c r="D167" s="3"/>
      <c r="E167" s="4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3"/>
      <c r="S167" s="3"/>
      <c r="T167" s="3"/>
      <c r="U167" s="3"/>
    </row>
    <row r="168">
      <c r="A168" s="3"/>
      <c r="B168" s="3"/>
      <c r="C168" s="3"/>
      <c r="D168" s="3"/>
      <c r="E168" s="4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3"/>
      <c r="S168" s="3"/>
      <c r="T168" s="3"/>
      <c r="U168" s="3"/>
    </row>
    <row r="169">
      <c r="A169" s="3"/>
      <c r="B169" s="3"/>
      <c r="C169" s="3"/>
      <c r="D169" s="3"/>
      <c r="E169" s="4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3"/>
      <c r="S169" s="3"/>
      <c r="T169" s="3"/>
      <c r="U169" s="3"/>
    </row>
    <row r="170">
      <c r="A170" s="3"/>
      <c r="B170" s="3"/>
      <c r="C170" s="3"/>
      <c r="D170" s="3"/>
      <c r="E170" s="4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3"/>
      <c r="S170" s="3"/>
      <c r="T170" s="3"/>
      <c r="U170" s="3"/>
    </row>
    <row r="171">
      <c r="A171" s="3"/>
      <c r="B171" s="3"/>
      <c r="C171" s="3"/>
      <c r="D171" s="3"/>
      <c r="E171" s="4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3"/>
      <c r="S171" s="3"/>
      <c r="T171" s="3"/>
      <c r="U171" s="3"/>
    </row>
    <row r="172">
      <c r="A172" s="3"/>
      <c r="B172" s="3"/>
      <c r="C172" s="3"/>
      <c r="D172" s="3"/>
      <c r="E172" s="4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3"/>
      <c r="S172" s="3"/>
      <c r="T172" s="3"/>
      <c r="U172" s="3"/>
    </row>
    <row r="173">
      <c r="A173" s="3"/>
      <c r="B173" s="3"/>
      <c r="C173" s="3"/>
      <c r="D173" s="3"/>
      <c r="E173" s="4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3"/>
      <c r="S173" s="3"/>
      <c r="T173" s="3"/>
      <c r="U173" s="3"/>
    </row>
    <row r="174">
      <c r="A174" s="3"/>
      <c r="B174" s="3"/>
      <c r="C174" s="3"/>
      <c r="D174" s="3"/>
      <c r="E174" s="4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3"/>
      <c r="S174" s="3"/>
      <c r="T174" s="3"/>
      <c r="U174" s="3"/>
    </row>
    <row r="175">
      <c r="A175" s="3"/>
      <c r="B175" s="3"/>
      <c r="C175" s="3"/>
      <c r="D175" s="3"/>
      <c r="E175" s="4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3"/>
      <c r="S175" s="3"/>
      <c r="T175" s="3"/>
      <c r="U175" s="3"/>
    </row>
    <row r="176">
      <c r="A176" s="3"/>
      <c r="B176" s="3"/>
      <c r="C176" s="3"/>
      <c r="D176" s="3"/>
      <c r="E176" s="4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3"/>
      <c r="S176" s="3"/>
      <c r="T176" s="3"/>
      <c r="U176" s="3"/>
    </row>
    <row r="177">
      <c r="A177" s="3"/>
      <c r="B177" s="3"/>
      <c r="C177" s="3"/>
      <c r="D177" s="3"/>
      <c r="E177" s="4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3"/>
      <c r="S177" s="3"/>
      <c r="T177" s="3"/>
      <c r="U177" s="3"/>
    </row>
    <row r="178">
      <c r="A178" s="3"/>
      <c r="B178" s="3"/>
      <c r="C178" s="3"/>
      <c r="D178" s="3"/>
      <c r="E178" s="4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3"/>
      <c r="S178" s="3"/>
      <c r="T178" s="3"/>
      <c r="U178" s="3"/>
    </row>
    <row r="179">
      <c r="A179" s="3"/>
      <c r="B179" s="3"/>
      <c r="C179" s="3"/>
      <c r="D179" s="3"/>
      <c r="E179" s="4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3"/>
      <c r="S179" s="3"/>
      <c r="T179" s="3"/>
      <c r="U179" s="3"/>
    </row>
    <row r="180">
      <c r="A180" s="3"/>
      <c r="B180" s="3"/>
      <c r="C180" s="3"/>
      <c r="D180" s="3"/>
      <c r="E180" s="4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3"/>
      <c r="S180" s="3"/>
      <c r="T180" s="3"/>
      <c r="U180" s="3"/>
    </row>
    <row r="181">
      <c r="A181" s="3"/>
      <c r="B181" s="3"/>
      <c r="C181" s="3"/>
      <c r="D181" s="3"/>
      <c r="E181" s="4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3"/>
      <c r="S181" s="3"/>
      <c r="T181" s="3"/>
      <c r="U181" s="3"/>
    </row>
    <row r="182">
      <c r="A182" s="3"/>
      <c r="B182" s="3"/>
      <c r="C182" s="3"/>
      <c r="D182" s="3"/>
      <c r="E182" s="4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3"/>
      <c r="S182" s="3"/>
      <c r="T182" s="3"/>
      <c r="U182" s="3"/>
    </row>
    <row r="183">
      <c r="A183" s="3"/>
      <c r="B183" s="3"/>
      <c r="C183" s="3"/>
      <c r="D183" s="3"/>
      <c r="E183" s="4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4"/>
      <c r="R183" s="3"/>
      <c r="S183" s="3"/>
      <c r="T183" s="3"/>
      <c r="U183" s="3"/>
    </row>
    <row r="184">
      <c r="A184" s="3"/>
      <c r="B184" s="3"/>
      <c r="C184" s="3"/>
      <c r="D184" s="3"/>
      <c r="E184" s="4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4"/>
      <c r="R184" s="3"/>
      <c r="S184" s="3"/>
      <c r="T184" s="3"/>
      <c r="U184" s="3"/>
    </row>
    <row r="185">
      <c r="A185" s="3"/>
      <c r="B185" s="3"/>
      <c r="C185" s="3"/>
      <c r="D185" s="3"/>
      <c r="E185" s="4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4"/>
      <c r="R185" s="3"/>
      <c r="S185" s="3"/>
      <c r="T185" s="3"/>
      <c r="U185" s="3"/>
    </row>
    <row r="186">
      <c r="A186" s="3"/>
      <c r="B186" s="3"/>
      <c r="C186" s="3"/>
      <c r="D186" s="3"/>
      <c r="E186" s="4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4"/>
      <c r="R186" s="3"/>
      <c r="S186" s="3"/>
      <c r="T186" s="3"/>
      <c r="U186" s="3"/>
    </row>
    <row r="187">
      <c r="A187" s="3"/>
      <c r="B187" s="3"/>
      <c r="C187" s="3"/>
      <c r="D187" s="3"/>
      <c r="E187" s="4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4"/>
      <c r="R187" s="3"/>
      <c r="S187" s="3"/>
      <c r="T187" s="3"/>
      <c r="U187" s="3"/>
    </row>
    <row r="188">
      <c r="A188" s="3"/>
      <c r="B188" s="3"/>
      <c r="C188" s="3"/>
      <c r="D188" s="3"/>
      <c r="E188" s="4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4"/>
      <c r="R188" s="3"/>
      <c r="S188" s="3"/>
      <c r="T188" s="3"/>
      <c r="U188" s="3"/>
    </row>
    <row r="189">
      <c r="A189" s="3"/>
      <c r="B189" s="3"/>
      <c r="C189" s="3"/>
      <c r="D189" s="3"/>
      <c r="E189" s="4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4"/>
      <c r="R189" s="3"/>
      <c r="S189" s="3"/>
      <c r="T189" s="3"/>
      <c r="U189" s="3"/>
    </row>
    <row r="190">
      <c r="A190" s="3"/>
      <c r="B190" s="3"/>
      <c r="C190" s="3"/>
      <c r="D190" s="3"/>
      <c r="E190" s="4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4"/>
      <c r="R190" s="3"/>
      <c r="S190" s="3"/>
      <c r="T190" s="3"/>
      <c r="U190" s="3"/>
    </row>
    <row r="191">
      <c r="A191" s="3"/>
      <c r="B191" s="3"/>
      <c r="C191" s="3"/>
      <c r="D191" s="3"/>
      <c r="E191" s="4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4"/>
      <c r="R191" s="3"/>
      <c r="S191" s="3"/>
      <c r="T191" s="3"/>
      <c r="U191" s="3"/>
    </row>
    <row r="192">
      <c r="A192" s="3"/>
      <c r="B192" s="3"/>
      <c r="C192" s="3"/>
      <c r="D192" s="3"/>
      <c r="E192" s="4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3"/>
      <c r="S192" s="3"/>
      <c r="T192" s="3"/>
      <c r="U192" s="3"/>
    </row>
    <row r="193">
      <c r="A193" s="3"/>
      <c r="B193" s="3"/>
      <c r="C193" s="3"/>
      <c r="D193" s="3"/>
      <c r="E193" s="4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4"/>
      <c r="R193" s="3"/>
      <c r="S193" s="3"/>
      <c r="T193" s="3"/>
      <c r="U193" s="3"/>
    </row>
    <row r="194">
      <c r="A194" s="3"/>
      <c r="B194" s="3"/>
      <c r="C194" s="3"/>
      <c r="D194" s="3"/>
      <c r="E194" s="4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3"/>
      <c r="S194" s="3"/>
      <c r="T194" s="3"/>
      <c r="U194" s="3"/>
    </row>
    <row r="195">
      <c r="A195" s="3"/>
      <c r="B195" s="3"/>
      <c r="C195" s="3"/>
      <c r="D195" s="3"/>
      <c r="E195" s="4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4"/>
      <c r="R195" s="3"/>
      <c r="S195" s="3"/>
      <c r="T195" s="3"/>
      <c r="U195" s="3"/>
    </row>
    <row r="196">
      <c r="A196" s="3"/>
      <c r="B196" s="3"/>
      <c r="C196" s="3"/>
      <c r="D196" s="3"/>
      <c r="E196" s="4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3"/>
      <c r="S196" s="3"/>
      <c r="T196" s="3"/>
      <c r="U196" s="3"/>
    </row>
    <row r="197">
      <c r="A197" s="3"/>
      <c r="B197" s="3"/>
      <c r="C197" s="3"/>
      <c r="D197" s="3"/>
      <c r="E197" s="4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3"/>
      <c r="S197" s="3"/>
      <c r="T197" s="3"/>
      <c r="U197" s="3"/>
    </row>
    <row r="198">
      <c r="A198" s="3"/>
      <c r="B198" s="3"/>
      <c r="C198" s="3"/>
      <c r="D198" s="3"/>
      <c r="E198" s="4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4"/>
      <c r="R198" s="3"/>
      <c r="S198" s="3"/>
      <c r="T198" s="3"/>
      <c r="U198" s="3"/>
    </row>
    <row r="199">
      <c r="A199" s="3"/>
      <c r="B199" s="3"/>
      <c r="C199" s="3"/>
      <c r="D199" s="3"/>
      <c r="E199" s="4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4"/>
      <c r="R199" s="3"/>
      <c r="S199" s="3"/>
      <c r="T199" s="3"/>
      <c r="U199" s="3"/>
    </row>
    <row r="200">
      <c r="A200" s="3"/>
      <c r="B200" s="3"/>
      <c r="C200" s="3"/>
      <c r="D200" s="3"/>
      <c r="E200" s="4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4"/>
      <c r="R200" s="3"/>
      <c r="S200" s="3"/>
      <c r="T200" s="3"/>
      <c r="U200" s="3"/>
    </row>
    <row r="201">
      <c r="A201" s="3"/>
      <c r="B201" s="3"/>
      <c r="C201" s="3"/>
      <c r="D201" s="3"/>
      <c r="E201" s="4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4"/>
      <c r="R201" s="3"/>
      <c r="S201" s="3"/>
      <c r="T201" s="3"/>
      <c r="U201" s="3"/>
    </row>
    <row r="202">
      <c r="A202" s="3"/>
      <c r="B202" s="3"/>
      <c r="C202" s="3"/>
      <c r="D202" s="3"/>
      <c r="E202" s="4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4"/>
      <c r="R202" s="3"/>
      <c r="S202" s="3"/>
      <c r="T202" s="3"/>
      <c r="U202" s="3"/>
    </row>
    <row r="203">
      <c r="A203" s="3"/>
      <c r="B203" s="3"/>
      <c r="C203" s="3"/>
      <c r="D203" s="3"/>
      <c r="E203" s="4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4"/>
      <c r="R203" s="3"/>
      <c r="S203" s="3"/>
      <c r="T203" s="3"/>
      <c r="U203" s="3"/>
    </row>
    <row r="204">
      <c r="A204" s="3"/>
      <c r="B204" s="3"/>
      <c r="C204" s="3"/>
      <c r="D204" s="3"/>
      <c r="E204" s="4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4"/>
      <c r="R204" s="3"/>
      <c r="S204" s="3"/>
      <c r="T204" s="3"/>
      <c r="U204" s="3"/>
    </row>
    <row r="205">
      <c r="A205" s="3"/>
      <c r="B205" s="3"/>
      <c r="C205" s="3"/>
      <c r="D205" s="3"/>
      <c r="E205" s="4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4"/>
      <c r="R205" s="3"/>
      <c r="S205" s="3"/>
      <c r="T205" s="3"/>
      <c r="U205" s="3"/>
    </row>
    <row r="206">
      <c r="A206" s="3"/>
      <c r="B206" s="3"/>
      <c r="C206" s="3"/>
      <c r="D206" s="3"/>
      <c r="E206" s="4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4"/>
      <c r="R206" s="3"/>
      <c r="S206" s="3"/>
      <c r="T206" s="3"/>
      <c r="U206" s="3"/>
    </row>
    <row r="207">
      <c r="A207" s="3"/>
      <c r="B207" s="3"/>
      <c r="C207" s="3"/>
      <c r="D207" s="3"/>
      <c r="E207" s="4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4"/>
      <c r="R207" s="3"/>
      <c r="S207" s="3"/>
      <c r="T207" s="3"/>
      <c r="U207" s="3"/>
    </row>
    <row r="208">
      <c r="A208" s="3"/>
      <c r="B208" s="3"/>
      <c r="C208" s="3"/>
      <c r="D208" s="3"/>
      <c r="E208" s="4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4"/>
      <c r="R208" s="3"/>
      <c r="S208" s="3"/>
      <c r="T208" s="3"/>
      <c r="U208" s="3"/>
    </row>
    <row r="209">
      <c r="A209" s="3"/>
      <c r="B209" s="3"/>
      <c r="C209" s="3"/>
      <c r="D209" s="3"/>
      <c r="E209" s="4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4"/>
      <c r="R209" s="3"/>
      <c r="S209" s="3"/>
      <c r="T209" s="3"/>
      <c r="U209" s="3"/>
    </row>
    <row r="210">
      <c r="A210" s="3"/>
      <c r="B210" s="3"/>
      <c r="C210" s="3"/>
      <c r="D210" s="3"/>
      <c r="E210" s="4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4"/>
      <c r="R210" s="3"/>
      <c r="S210" s="3"/>
      <c r="T210" s="3"/>
      <c r="U210" s="3"/>
    </row>
    <row r="211">
      <c r="A211" s="3"/>
      <c r="B211" s="3"/>
      <c r="C211" s="3"/>
      <c r="D211" s="3"/>
      <c r="E211" s="4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4"/>
      <c r="R211" s="3"/>
      <c r="S211" s="3"/>
      <c r="T211" s="3"/>
      <c r="U211" s="3"/>
    </row>
    <row r="212">
      <c r="A212" s="3"/>
      <c r="B212" s="3"/>
      <c r="C212" s="3"/>
      <c r="D212" s="3"/>
      <c r="E212" s="4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4"/>
      <c r="R212" s="3"/>
      <c r="S212" s="3"/>
      <c r="T212" s="3"/>
      <c r="U212" s="3"/>
    </row>
    <row r="213">
      <c r="A213" s="3"/>
      <c r="B213" s="3"/>
      <c r="C213" s="3"/>
      <c r="D213" s="3"/>
      <c r="E213" s="4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4"/>
      <c r="R213" s="3"/>
      <c r="S213" s="3"/>
      <c r="T213" s="3"/>
      <c r="U213" s="3"/>
    </row>
    <row r="214">
      <c r="A214" s="3"/>
      <c r="B214" s="3"/>
      <c r="C214" s="3"/>
      <c r="D214" s="3"/>
      <c r="E214" s="4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4"/>
      <c r="R214" s="3"/>
      <c r="S214" s="3"/>
      <c r="T214" s="3"/>
      <c r="U214" s="3"/>
    </row>
    <row r="215">
      <c r="A215" s="3"/>
      <c r="B215" s="3"/>
      <c r="C215" s="3"/>
      <c r="D215" s="3"/>
      <c r="E215" s="4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4"/>
      <c r="R215" s="3"/>
      <c r="S215" s="3"/>
      <c r="T215" s="3"/>
      <c r="U215" s="3"/>
    </row>
    <row r="216">
      <c r="A216" s="3"/>
      <c r="B216" s="3"/>
      <c r="C216" s="3"/>
      <c r="D216" s="3"/>
      <c r="E216" s="4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4"/>
      <c r="R216" s="3"/>
      <c r="S216" s="3"/>
      <c r="T216" s="3"/>
      <c r="U216" s="3"/>
    </row>
    <row r="217">
      <c r="A217" s="3"/>
      <c r="B217" s="3"/>
      <c r="C217" s="3"/>
      <c r="D217" s="3"/>
      <c r="E217" s="4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4"/>
      <c r="R217" s="3"/>
      <c r="S217" s="3"/>
      <c r="T217" s="3"/>
      <c r="U217" s="3"/>
    </row>
    <row r="218">
      <c r="A218" s="3"/>
      <c r="B218" s="3"/>
      <c r="C218" s="3"/>
      <c r="D218" s="3"/>
      <c r="E218" s="4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4"/>
      <c r="R218" s="3"/>
      <c r="S218" s="3"/>
      <c r="T218" s="3"/>
      <c r="U218" s="3"/>
    </row>
    <row r="219">
      <c r="A219" s="3"/>
      <c r="B219" s="3"/>
      <c r="C219" s="3"/>
      <c r="D219" s="3"/>
      <c r="E219" s="4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4"/>
      <c r="R219" s="3"/>
      <c r="S219" s="3"/>
      <c r="T219" s="3"/>
      <c r="U219" s="3"/>
    </row>
    <row r="220">
      <c r="A220" s="3"/>
      <c r="B220" s="3"/>
      <c r="C220" s="3"/>
      <c r="D220" s="3"/>
      <c r="E220" s="4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4"/>
      <c r="R220" s="3"/>
      <c r="S220" s="3"/>
      <c r="T220" s="3"/>
      <c r="U220" s="3"/>
    </row>
    <row r="221">
      <c r="A221" s="3"/>
      <c r="B221" s="3"/>
      <c r="C221" s="3"/>
      <c r="D221" s="3"/>
      <c r="E221" s="4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4"/>
      <c r="R221" s="3"/>
      <c r="S221" s="3"/>
      <c r="T221" s="3"/>
      <c r="U221" s="3"/>
    </row>
    <row r="222">
      <c r="A222" s="3"/>
      <c r="B222" s="3"/>
      <c r="C222" s="3"/>
      <c r="D222" s="3"/>
      <c r="E222" s="4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4"/>
      <c r="R222" s="3"/>
      <c r="S222" s="3"/>
      <c r="T222" s="3"/>
      <c r="U222" s="3"/>
    </row>
    <row r="223">
      <c r="A223" s="3"/>
      <c r="B223" s="3"/>
      <c r="C223" s="3"/>
      <c r="D223" s="3"/>
      <c r="E223" s="4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4"/>
      <c r="R223" s="3"/>
      <c r="S223" s="3"/>
      <c r="T223" s="3"/>
      <c r="U223" s="3"/>
    </row>
    <row r="224">
      <c r="A224" s="3"/>
      <c r="B224" s="3"/>
      <c r="C224" s="3"/>
      <c r="D224" s="3"/>
      <c r="E224" s="4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4"/>
      <c r="R224" s="3"/>
      <c r="S224" s="3"/>
      <c r="T224" s="3"/>
      <c r="U224" s="3"/>
    </row>
    <row r="225">
      <c r="A225" s="3"/>
      <c r="B225" s="3"/>
      <c r="C225" s="3"/>
      <c r="D225" s="3"/>
      <c r="E225" s="4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4"/>
      <c r="R225" s="3"/>
      <c r="S225" s="3"/>
      <c r="T225" s="3"/>
      <c r="U225" s="3"/>
    </row>
    <row r="226">
      <c r="A226" s="3"/>
      <c r="B226" s="3"/>
      <c r="C226" s="3"/>
      <c r="D226" s="3"/>
      <c r="E226" s="4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4"/>
      <c r="R226" s="3"/>
      <c r="S226" s="3"/>
      <c r="T226" s="3"/>
      <c r="U226" s="3"/>
    </row>
    <row r="227">
      <c r="A227" s="3"/>
      <c r="B227" s="3"/>
      <c r="C227" s="3"/>
      <c r="D227" s="3"/>
      <c r="E227" s="4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4"/>
      <c r="R227" s="3"/>
      <c r="S227" s="3"/>
      <c r="T227" s="3"/>
      <c r="U227" s="3"/>
    </row>
    <row r="228">
      <c r="A228" s="3"/>
      <c r="B228" s="3"/>
      <c r="C228" s="3"/>
      <c r="D228" s="3"/>
      <c r="E228" s="4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4"/>
      <c r="R228" s="3"/>
      <c r="S228" s="3"/>
      <c r="T228" s="3"/>
      <c r="U228" s="3"/>
    </row>
    <row r="229">
      <c r="A229" s="3"/>
      <c r="B229" s="3"/>
      <c r="C229" s="3"/>
      <c r="D229" s="3"/>
      <c r="E229" s="4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4"/>
      <c r="R229" s="3"/>
      <c r="S229" s="3"/>
      <c r="T229" s="3"/>
      <c r="U229" s="3"/>
    </row>
    <row r="230">
      <c r="A230" s="3"/>
      <c r="B230" s="3"/>
      <c r="C230" s="3"/>
      <c r="D230" s="3"/>
      <c r="E230" s="4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4"/>
      <c r="R230" s="3"/>
      <c r="S230" s="3"/>
      <c r="T230" s="3"/>
      <c r="U230" s="3"/>
    </row>
    <row r="231">
      <c r="A231" s="3"/>
      <c r="B231" s="3"/>
      <c r="C231" s="3"/>
      <c r="D231" s="3"/>
      <c r="E231" s="4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4"/>
      <c r="R231" s="3"/>
      <c r="S231" s="3"/>
      <c r="T231" s="3"/>
      <c r="U231" s="3"/>
    </row>
    <row r="232">
      <c r="A232" s="3"/>
      <c r="B232" s="3"/>
      <c r="C232" s="3"/>
      <c r="D232" s="3"/>
      <c r="E232" s="4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4"/>
      <c r="R232" s="3"/>
      <c r="S232" s="3"/>
      <c r="T232" s="3"/>
      <c r="U232" s="3"/>
    </row>
    <row r="233">
      <c r="A233" s="3"/>
      <c r="B233" s="3"/>
      <c r="C233" s="3"/>
      <c r="D233" s="3"/>
      <c r="E233" s="4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4"/>
      <c r="R233" s="3"/>
      <c r="S233" s="3"/>
      <c r="T233" s="3"/>
      <c r="U233" s="3"/>
    </row>
    <row r="234">
      <c r="A234" s="3"/>
      <c r="B234" s="3"/>
      <c r="C234" s="3"/>
      <c r="D234" s="3"/>
      <c r="E234" s="4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4"/>
      <c r="R234" s="3"/>
      <c r="S234" s="3"/>
      <c r="T234" s="3"/>
      <c r="U234" s="3"/>
    </row>
    <row r="235">
      <c r="A235" s="3"/>
      <c r="B235" s="3"/>
      <c r="C235" s="3"/>
      <c r="D235" s="3"/>
      <c r="E235" s="4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4"/>
      <c r="R235" s="3"/>
      <c r="S235" s="3"/>
      <c r="T235" s="3"/>
      <c r="U235" s="3"/>
    </row>
    <row r="236">
      <c r="A236" s="3"/>
      <c r="B236" s="3"/>
      <c r="C236" s="3"/>
      <c r="D236" s="3"/>
      <c r="E236" s="4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4"/>
      <c r="R236" s="3"/>
      <c r="S236" s="3"/>
      <c r="T236" s="3"/>
      <c r="U236" s="3"/>
    </row>
    <row r="237">
      <c r="A237" s="3"/>
      <c r="B237" s="3"/>
      <c r="C237" s="3"/>
      <c r="D237" s="3"/>
      <c r="E237" s="4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4"/>
      <c r="R237" s="3"/>
      <c r="S237" s="3"/>
      <c r="T237" s="3"/>
      <c r="U237" s="3"/>
    </row>
    <row r="238">
      <c r="A238" s="3"/>
      <c r="B238" s="3"/>
      <c r="C238" s="3"/>
      <c r="D238" s="3"/>
      <c r="E238" s="4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4"/>
      <c r="R238" s="3"/>
      <c r="S238" s="3"/>
      <c r="T238" s="3"/>
      <c r="U238" s="3"/>
    </row>
    <row r="239">
      <c r="A239" s="3"/>
      <c r="B239" s="3"/>
      <c r="C239" s="3"/>
      <c r="D239" s="3"/>
      <c r="E239" s="4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4"/>
      <c r="R239" s="3"/>
      <c r="S239" s="3"/>
      <c r="T239" s="3"/>
      <c r="U239" s="3"/>
    </row>
    <row r="240">
      <c r="A240" s="3"/>
      <c r="B240" s="3"/>
      <c r="C240" s="3"/>
      <c r="D240" s="3"/>
      <c r="E240" s="4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4"/>
      <c r="R240" s="3"/>
      <c r="S240" s="3"/>
      <c r="T240" s="3"/>
      <c r="U240" s="3"/>
    </row>
    <row r="241">
      <c r="A241" s="3"/>
      <c r="B241" s="3"/>
      <c r="C241" s="3"/>
      <c r="D241" s="3"/>
      <c r="E241" s="4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4"/>
      <c r="R241" s="3"/>
      <c r="S241" s="3"/>
      <c r="T241" s="3"/>
      <c r="U241" s="3"/>
    </row>
    <row r="242">
      <c r="A242" s="3"/>
      <c r="B242" s="3"/>
      <c r="C242" s="3"/>
      <c r="D242" s="3"/>
      <c r="E242" s="4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4"/>
      <c r="R242" s="3"/>
      <c r="S242" s="3"/>
      <c r="T242" s="3"/>
      <c r="U242" s="3"/>
    </row>
    <row r="243">
      <c r="A243" s="3"/>
      <c r="B243" s="3"/>
      <c r="C243" s="3"/>
      <c r="D243" s="3"/>
      <c r="E243" s="4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4"/>
      <c r="R243" s="3"/>
      <c r="S243" s="3"/>
      <c r="T243" s="3"/>
      <c r="U243" s="3"/>
    </row>
    <row r="244">
      <c r="A244" s="3"/>
      <c r="B244" s="3"/>
      <c r="C244" s="3"/>
      <c r="D244" s="3"/>
      <c r="E244" s="4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4"/>
      <c r="R244" s="3"/>
      <c r="S244" s="3"/>
      <c r="T244" s="3"/>
      <c r="U244" s="3"/>
    </row>
    <row r="245">
      <c r="A245" s="3"/>
      <c r="B245" s="3"/>
      <c r="C245" s="3"/>
      <c r="D245" s="3"/>
      <c r="E245" s="4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4"/>
      <c r="R245" s="3"/>
      <c r="S245" s="3"/>
      <c r="T245" s="3"/>
      <c r="U245" s="3"/>
    </row>
    <row r="246">
      <c r="A246" s="3"/>
      <c r="B246" s="3"/>
      <c r="C246" s="3"/>
      <c r="D246" s="3"/>
      <c r="E246" s="4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4"/>
      <c r="R246" s="3"/>
      <c r="S246" s="3"/>
      <c r="T246" s="3"/>
      <c r="U246" s="3"/>
    </row>
    <row r="247">
      <c r="A247" s="3"/>
      <c r="B247" s="3"/>
      <c r="C247" s="3"/>
      <c r="D247" s="3"/>
      <c r="E247" s="4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4"/>
      <c r="R247" s="3"/>
      <c r="S247" s="3"/>
      <c r="T247" s="3"/>
      <c r="U247" s="3"/>
    </row>
    <row r="248">
      <c r="A248" s="3"/>
      <c r="B248" s="3"/>
      <c r="C248" s="3"/>
      <c r="D248" s="3"/>
      <c r="E248" s="4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4"/>
      <c r="R248" s="3"/>
      <c r="S248" s="3"/>
      <c r="T248" s="3"/>
      <c r="U248" s="3"/>
    </row>
    <row r="249">
      <c r="A249" s="3"/>
      <c r="B249" s="3"/>
      <c r="C249" s="3"/>
      <c r="D249" s="3"/>
      <c r="E249" s="4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4"/>
      <c r="R249" s="3"/>
      <c r="S249" s="3"/>
      <c r="T249" s="3"/>
      <c r="U249" s="3"/>
    </row>
    <row r="250">
      <c r="A250" s="3"/>
      <c r="B250" s="3"/>
      <c r="C250" s="3"/>
      <c r="D250" s="3"/>
      <c r="E250" s="4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4"/>
      <c r="R250" s="3"/>
      <c r="S250" s="3"/>
      <c r="T250" s="3"/>
      <c r="U250" s="3"/>
    </row>
    <row r="251">
      <c r="A251" s="3"/>
      <c r="B251" s="3"/>
      <c r="C251" s="3"/>
      <c r="D251" s="3"/>
      <c r="E251" s="4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4"/>
      <c r="R251" s="3"/>
      <c r="S251" s="3"/>
      <c r="T251" s="3"/>
      <c r="U251" s="3"/>
    </row>
    <row r="252">
      <c r="A252" s="3"/>
      <c r="B252" s="3"/>
      <c r="C252" s="3"/>
      <c r="D252" s="3"/>
      <c r="E252" s="4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4"/>
      <c r="R252" s="3"/>
      <c r="S252" s="3"/>
      <c r="T252" s="3"/>
      <c r="U252" s="3"/>
    </row>
    <row r="253">
      <c r="A253" s="3"/>
      <c r="B253" s="3"/>
      <c r="C253" s="3"/>
      <c r="D253" s="3"/>
      <c r="E253" s="4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4"/>
      <c r="R253" s="3"/>
      <c r="S253" s="3"/>
      <c r="T253" s="3"/>
      <c r="U253" s="3"/>
    </row>
    <row r="254">
      <c r="A254" s="3"/>
      <c r="B254" s="3"/>
      <c r="C254" s="3"/>
      <c r="D254" s="3"/>
      <c r="E254" s="4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4"/>
      <c r="R254" s="3"/>
      <c r="S254" s="3"/>
      <c r="T254" s="3"/>
      <c r="U254" s="3"/>
    </row>
    <row r="255">
      <c r="A255" s="3"/>
      <c r="B255" s="3"/>
      <c r="C255" s="3"/>
      <c r="D255" s="3"/>
      <c r="E255" s="4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4"/>
      <c r="R255" s="3"/>
      <c r="S255" s="3"/>
      <c r="T255" s="3"/>
      <c r="U255" s="3"/>
    </row>
    <row r="256">
      <c r="A256" s="3"/>
      <c r="B256" s="3"/>
      <c r="C256" s="3"/>
      <c r="D256" s="3"/>
      <c r="E256" s="4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4"/>
      <c r="R256" s="3"/>
      <c r="S256" s="3"/>
      <c r="T256" s="3"/>
      <c r="U256" s="3"/>
    </row>
    <row r="257">
      <c r="A257" s="3"/>
      <c r="B257" s="3"/>
      <c r="C257" s="3"/>
      <c r="D257" s="3"/>
      <c r="E257" s="4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4"/>
      <c r="R257" s="3"/>
      <c r="S257" s="3"/>
      <c r="T257" s="3"/>
      <c r="U257" s="3"/>
    </row>
    <row r="258">
      <c r="A258" s="3"/>
      <c r="B258" s="3"/>
      <c r="C258" s="3"/>
      <c r="D258" s="3"/>
      <c r="E258" s="4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4"/>
      <c r="R258" s="3"/>
      <c r="S258" s="3"/>
      <c r="T258" s="3"/>
      <c r="U258" s="3"/>
    </row>
    <row r="259">
      <c r="A259" s="3"/>
      <c r="B259" s="3"/>
      <c r="C259" s="3"/>
      <c r="D259" s="3"/>
      <c r="E259" s="4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4"/>
      <c r="R259" s="3"/>
      <c r="S259" s="3"/>
      <c r="T259" s="3"/>
      <c r="U259" s="3"/>
    </row>
    <row r="260">
      <c r="A260" s="3"/>
      <c r="B260" s="3"/>
      <c r="C260" s="3"/>
      <c r="D260" s="3"/>
      <c r="E260" s="4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4"/>
      <c r="R260" s="3"/>
      <c r="S260" s="3"/>
      <c r="T260" s="3"/>
      <c r="U260" s="3"/>
    </row>
    <row r="261">
      <c r="A261" s="3"/>
      <c r="B261" s="3"/>
      <c r="C261" s="3"/>
      <c r="D261" s="3"/>
      <c r="E261" s="4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4"/>
      <c r="R261" s="3"/>
      <c r="S261" s="3"/>
      <c r="T261" s="3"/>
      <c r="U261" s="3"/>
    </row>
    <row r="262">
      <c r="A262" s="3"/>
      <c r="B262" s="3"/>
      <c r="C262" s="3"/>
      <c r="D262" s="3"/>
      <c r="E262" s="4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4"/>
      <c r="R262" s="3"/>
      <c r="S262" s="3"/>
      <c r="T262" s="3"/>
      <c r="U262" s="3"/>
    </row>
    <row r="263">
      <c r="A263" s="3"/>
      <c r="B263" s="3"/>
      <c r="C263" s="3"/>
      <c r="D263" s="3"/>
      <c r="E263" s="4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4"/>
      <c r="R263" s="3"/>
      <c r="S263" s="3"/>
      <c r="T263" s="3"/>
      <c r="U263" s="3"/>
    </row>
    <row r="264">
      <c r="A264" s="3"/>
      <c r="B264" s="3"/>
      <c r="C264" s="3"/>
      <c r="D264" s="3"/>
      <c r="E264" s="4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4"/>
      <c r="R264" s="3"/>
      <c r="S264" s="3"/>
      <c r="T264" s="3"/>
      <c r="U264" s="3"/>
    </row>
    <row r="265">
      <c r="A265" s="3"/>
      <c r="B265" s="3"/>
      <c r="C265" s="3"/>
      <c r="D265" s="3"/>
      <c r="E265" s="4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4"/>
      <c r="R265" s="3"/>
      <c r="S265" s="3"/>
      <c r="T265" s="3"/>
      <c r="U265" s="3"/>
    </row>
    <row r="266">
      <c r="A266" s="3"/>
      <c r="B266" s="3"/>
      <c r="C266" s="3"/>
      <c r="D266" s="3"/>
      <c r="E266" s="4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4"/>
      <c r="R266" s="3"/>
      <c r="S266" s="3"/>
      <c r="T266" s="3"/>
      <c r="U266" s="3"/>
    </row>
    <row r="267">
      <c r="A267" s="3"/>
      <c r="B267" s="3"/>
      <c r="C267" s="3"/>
      <c r="D267" s="3"/>
      <c r="E267" s="4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4"/>
      <c r="R267" s="3"/>
      <c r="S267" s="3"/>
      <c r="T267" s="3"/>
      <c r="U267" s="3"/>
    </row>
    <row r="268">
      <c r="A268" s="3"/>
      <c r="B268" s="3"/>
      <c r="C268" s="3"/>
      <c r="D268" s="3"/>
      <c r="E268" s="4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4"/>
      <c r="R268" s="3"/>
      <c r="S268" s="3"/>
      <c r="T268" s="3"/>
      <c r="U268" s="3"/>
    </row>
    <row r="269">
      <c r="A269" s="3"/>
      <c r="B269" s="3"/>
      <c r="C269" s="3"/>
      <c r="D269" s="3"/>
      <c r="E269" s="4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4"/>
      <c r="R269" s="3"/>
      <c r="S269" s="3"/>
      <c r="T269" s="3"/>
      <c r="U269" s="3"/>
    </row>
    <row r="270">
      <c r="A270" s="3"/>
      <c r="B270" s="3"/>
      <c r="C270" s="3"/>
      <c r="D270" s="3"/>
      <c r="E270" s="4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4"/>
      <c r="R270" s="3"/>
      <c r="S270" s="3"/>
      <c r="T270" s="3"/>
      <c r="U270" s="3"/>
    </row>
    <row r="271">
      <c r="A271" s="3"/>
      <c r="B271" s="3"/>
      <c r="C271" s="3"/>
      <c r="D271" s="3"/>
      <c r="E271" s="4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4"/>
      <c r="R271" s="3"/>
      <c r="S271" s="3"/>
      <c r="T271" s="3"/>
      <c r="U271" s="3"/>
    </row>
    <row r="272">
      <c r="A272" s="3"/>
      <c r="B272" s="3"/>
      <c r="C272" s="3"/>
      <c r="D272" s="3"/>
      <c r="E272" s="4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4"/>
      <c r="R272" s="3"/>
      <c r="S272" s="3"/>
      <c r="T272" s="3"/>
      <c r="U272" s="3"/>
    </row>
    <row r="273">
      <c r="A273" s="3"/>
      <c r="B273" s="3"/>
      <c r="C273" s="3"/>
      <c r="D273" s="3"/>
      <c r="E273" s="4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4"/>
      <c r="R273" s="3"/>
      <c r="S273" s="3"/>
      <c r="T273" s="3"/>
      <c r="U273" s="3"/>
    </row>
    <row r="274">
      <c r="A274" s="3"/>
      <c r="B274" s="3"/>
      <c r="C274" s="3"/>
      <c r="D274" s="3"/>
      <c r="E274" s="4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4"/>
      <c r="R274" s="3"/>
      <c r="S274" s="3"/>
      <c r="T274" s="3"/>
      <c r="U274" s="3"/>
    </row>
    <row r="275">
      <c r="A275" s="3"/>
      <c r="B275" s="3"/>
      <c r="C275" s="3"/>
      <c r="D275" s="3"/>
      <c r="E275" s="4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4"/>
      <c r="R275" s="3"/>
      <c r="S275" s="3"/>
      <c r="T275" s="3"/>
      <c r="U275" s="3"/>
    </row>
    <row r="276">
      <c r="A276" s="3"/>
      <c r="B276" s="3"/>
      <c r="C276" s="3"/>
      <c r="D276" s="3"/>
      <c r="E276" s="4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4"/>
      <c r="R276" s="3"/>
      <c r="S276" s="3"/>
      <c r="T276" s="3"/>
      <c r="U276" s="3"/>
    </row>
    <row r="277">
      <c r="A277" s="3"/>
      <c r="B277" s="3"/>
      <c r="C277" s="3"/>
      <c r="D277" s="3"/>
      <c r="E277" s="4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4"/>
      <c r="R277" s="3"/>
      <c r="S277" s="3"/>
      <c r="T277" s="3"/>
      <c r="U277" s="3"/>
    </row>
    <row r="278">
      <c r="A278" s="3"/>
      <c r="B278" s="3"/>
      <c r="C278" s="3"/>
      <c r="D278" s="3"/>
      <c r="E278" s="4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4"/>
      <c r="R278" s="3"/>
      <c r="S278" s="3"/>
      <c r="T278" s="3"/>
      <c r="U278" s="3"/>
    </row>
    <row r="279">
      <c r="A279" s="3"/>
      <c r="B279" s="3"/>
      <c r="C279" s="3"/>
      <c r="D279" s="3"/>
      <c r="E279" s="4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4"/>
      <c r="R279" s="3"/>
      <c r="S279" s="3"/>
      <c r="T279" s="3"/>
      <c r="U279" s="3"/>
    </row>
    <row r="280">
      <c r="A280" s="3"/>
      <c r="B280" s="3"/>
      <c r="C280" s="3"/>
      <c r="D280" s="3"/>
      <c r="E280" s="4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4"/>
      <c r="R280" s="3"/>
      <c r="S280" s="3"/>
      <c r="T280" s="3"/>
      <c r="U280" s="3"/>
    </row>
    <row r="281">
      <c r="A281" s="3"/>
      <c r="B281" s="3"/>
      <c r="C281" s="3"/>
      <c r="D281" s="3"/>
      <c r="E281" s="4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4"/>
      <c r="R281" s="3"/>
      <c r="S281" s="3"/>
      <c r="T281" s="3"/>
      <c r="U281" s="3"/>
    </row>
    <row r="282">
      <c r="A282" s="3"/>
      <c r="B282" s="3"/>
      <c r="C282" s="3"/>
      <c r="D282" s="3"/>
      <c r="E282" s="4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4"/>
      <c r="R282" s="3"/>
      <c r="S282" s="3"/>
      <c r="T282" s="3"/>
      <c r="U282" s="3"/>
    </row>
    <row r="283">
      <c r="A283" s="3"/>
      <c r="B283" s="3"/>
      <c r="C283" s="3"/>
      <c r="D283" s="3"/>
      <c r="E283" s="4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4"/>
      <c r="R283" s="3"/>
      <c r="S283" s="3"/>
      <c r="T283" s="3"/>
      <c r="U283" s="3"/>
    </row>
    <row r="284">
      <c r="A284" s="3"/>
      <c r="B284" s="3"/>
      <c r="C284" s="3"/>
      <c r="D284" s="3"/>
      <c r="E284" s="4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4"/>
      <c r="R284" s="3"/>
      <c r="S284" s="3"/>
      <c r="T284" s="3"/>
      <c r="U284" s="3"/>
    </row>
    <row r="285">
      <c r="A285" s="3"/>
      <c r="B285" s="3"/>
      <c r="C285" s="3"/>
      <c r="D285" s="3"/>
      <c r="E285" s="4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4"/>
      <c r="R285" s="3"/>
      <c r="S285" s="3"/>
      <c r="T285" s="3"/>
      <c r="U285" s="3"/>
    </row>
    <row r="286">
      <c r="A286" s="3"/>
      <c r="B286" s="3"/>
      <c r="C286" s="3"/>
      <c r="D286" s="3"/>
      <c r="E286" s="4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4"/>
      <c r="R286" s="3"/>
      <c r="S286" s="3"/>
      <c r="T286" s="3"/>
      <c r="U286" s="3"/>
    </row>
    <row r="287">
      <c r="A287" s="3"/>
      <c r="B287" s="3"/>
      <c r="C287" s="3"/>
      <c r="D287" s="3"/>
      <c r="E287" s="4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4"/>
      <c r="R287" s="3"/>
      <c r="S287" s="3"/>
      <c r="T287" s="3"/>
      <c r="U287" s="3"/>
    </row>
    <row r="288">
      <c r="A288" s="3"/>
      <c r="B288" s="3"/>
      <c r="C288" s="3"/>
      <c r="D288" s="3"/>
      <c r="E288" s="4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4"/>
      <c r="R288" s="3"/>
      <c r="S288" s="3"/>
      <c r="T288" s="3"/>
      <c r="U288" s="3"/>
    </row>
    <row r="289">
      <c r="A289" s="3"/>
      <c r="B289" s="3"/>
      <c r="C289" s="3"/>
      <c r="D289" s="3"/>
      <c r="E289" s="4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4"/>
      <c r="R289" s="3"/>
      <c r="S289" s="3"/>
      <c r="T289" s="3"/>
      <c r="U289" s="3"/>
    </row>
    <row r="290">
      <c r="A290" s="3"/>
      <c r="B290" s="3"/>
      <c r="C290" s="3"/>
      <c r="D290" s="3"/>
      <c r="E290" s="4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4"/>
      <c r="R290" s="3"/>
      <c r="S290" s="3"/>
      <c r="T290" s="3"/>
      <c r="U290" s="3"/>
    </row>
    <row r="291">
      <c r="A291" s="3"/>
      <c r="B291" s="3"/>
      <c r="C291" s="3"/>
      <c r="D291" s="3"/>
      <c r="E291" s="4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4"/>
      <c r="R291" s="3"/>
      <c r="S291" s="3"/>
      <c r="T291" s="3"/>
      <c r="U291" s="3"/>
    </row>
    <row r="292">
      <c r="A292" s="3"/>
      <c r="B292" s="3"/>
      <c r="C292" s="3"/>
      <c r="D292" s="3"/>
      <c r="E292" s="4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4"/>
      <c r="R292" s="3"/>
      <c r="S292" s="3"/>
      <c r="T292" s="3"/>
      <c r="U292" s="3"/>
    </row>
    <row r="293">
      <c r="A293" s="3"/>
      <c r="B293" s="3"/>
      <c r="C293" s="3"/>
      <c r="D293" s="3"/>
      <c r="E293" s="4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4"/>
      <c r="R293" s="3"/>
      <c r="S293" s="3"/>
      <c r="T293" s="3"/>
      <c r="U293" s="3"/>
    </row>
    <row r="294">
      <c r="A294" s="3"/>
      <c r="B294" s="3"/>
      <c r="C294" s="3"/>
      <c r="D294" s="3"/>
      <c r="E294" s="4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4"/>
      <c r="R294" s="3"/>
      <c r="S294" s="3"/>
      <c r="T294" s="3"/>
      <c r="U294" s="3"/>
    </row>
    <row r="295">
      <c r="A295" s="3"/>
      <c r="B295" s="3"/>
      <c r="C295" s="3"/>
      <c r="D295" s="3"/>
      <c r="E295" s="4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4"/>
      <c r="R295" s="3"/>
      <c r="S295" s="3"/>
      <c r="T295" s="3"/>
      <c r="U295" s="3"/>
    </row>
    <row r="296">
      <c r="A296" s="3"/>
      <c r="B296" s="3"/>
      <c r="C296" s="3"/>
      <c r="D296" s="3"/>
      <c r="E296" s="4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4"/>
      <c r="R296" s="3"/>
      <c r="S296" s="3"/>
      <c r="T296" s="3"/>
      <c r="U296" s="3"/>
    </row>
    <row r="297">
      <c r="A297" s="3"/>
      <c r="B297" s="3"/>
      <c r="C297" s="3"/>
      <c r="D297" s="3"/>
      <c r="E297" s="4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4"/>
      <c r="R297" s="3"/>
      <c r="S297" s="3"/>
      <c r="T297" s="3"/>
      <c r="U297" s="3"/>
    </row>
    <row r="298">
      <c r="A298" s="3"/>
      <c r="B298" s="3"/>
      <c r="C298" s="3"/>
      <c r="D298" s="3"/>
      <c r="E298" s="4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4"/>
      <c r="R298" s="3"/>
      <c r="S298" s="3"/>
      <c r="T298" s="3"/>
      <c r="U298" s="3"/>
    </row>
    <row r="299">
      <c r="A299" s="3"/>
      <c r="B299" s="3"/>
      <c r="C299" s="3"/>
      <c r="D299" s="3"/>
      <c r="E299" s="4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4"/>
      <c r="R299" s="3"/>
      <c r="S299" s="3"/>
      <c r="T299" s="3"/>
      <c r="U299" s="3"/>
    </row>
    <row r="300">
      <c r="A300" s="3"/>
      <c r="B300" s="3"/>
      <c r="C300" s="3"/>
      <c r="D300" s="3"/>
      <c r="E300" s="4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4"/>
      <c r="R300" s="3"/>
      <c r="S300" s="3"/>
      <c r="T300" s="3"/>
      <c r="U300" s="3"/>
    </row>
    <row r="301">
      <c r="A301" s="3"/>
      <c r="B301" s="3"/>
      <c r="C301" s="3"/>
      <c r="D301" s="3"/>
      <c r="E301" s="4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4"/>
      <c r="R301" s="3"/>
      <c r="S301" s="3"/>
      <c r="T301" s="3"/>
      <c r="U301" s="3"/>
    </row>
    <row r="302">
      <c r="A302" s="3"/>
      <c r="B302" s="3"/>
      <c r="C302" s="3"/>
      <c r="D302" s="3"/>
      <c r="E302" s="4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4"/>
      <c r="R302" s="3"/>
      <c r="S302" s="3"/>
      <c r="T302" s="3"/>
      <c r="U302" s="3"/>
    </row>
    <row r="303">
      <c r="A303" s="3"/>
      <c r="B303" s="3"/>
      <c r="C303" s="3"/>
      <c r="D303" s="3"/>
      <c r="E303" s="4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4"/>
      <c r="R303" s="3"/>
      <c r="S303" s="3"/>
      <c r="T303" s="3"/>
      <c r="U303" s="3"/>
    </row>
    <row r="304">
      <c r="A304" s="3"/>
      <c r="B304" s="3"/>
      <c r="C304" s="3"/>
      <c r="D304" s="3"/>
      <c r="E304" s="4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4"/>
      <c r="R304" s="3"/>
      <c r="S304" s="3"/>
      <c r="T304" s="3"/>
      <c r="U304" s="3"/>
    </row>
    <row r="305">
      <c r="A305" s="3"/>
      <c r="B305" s="3"/>
      <c r="C305" s="3"/>
      <c r="D305" s="3"/>
      <c r="E305" s="4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4"/>
      <c r="R305" s="3"/>
      <c r="S305" s="3"/>
      <c r="T305" s="3"/>
      <c r="U305" s="3"/>
    </row>
    <row r="306">
      <c r="A306" s="3"/>
      <c r="B306" s="3"/>
      <c r="C306" s="3"/>
      <c r="D306" s="3"/>
      <c r="E306" s="4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4"/>
      <c r="R306" s="3"/>
      <c r="S306" s="3"/>
      <c r="T306" s="3"/>
      <c r="U306" s="3"/>
    </row>
    <row r="307">
      <c r="A307" s="3"/>
      <c r="B307" s="3"/>
      <c r="C307" s="3"/>
      <c r="D307" s="3"/>
      <c r="E307" s="4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4"/>
      <c r="R307" s="3"/>
      <c r="S307" s="3"/>
      <c r="T307" s="3"/>
      <c r="U307" s="3"/>
    </row>
    <row r="308">
      <c r="A308" s="3"/>
      <c r="B308" s="3"/>
      <c r="C308" s="3"/>
      <c r="D308" s="3"/>
      <c r="E308" s="4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4"/>
      <c r="R308" s="3"/>
      <c r="S308" s="3"/>
      <c r="T308" s="3"/>
      <c r="U308" s="3"/>
    </row>
    <row r="309">
      <c r="A309" s="3"/>
      <c r="B309" s="3"/>
      <c r="C309" s="3"/>
      <c r="D309" s="3"/>
      <c r="E309" s="4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4"/>
      <c r="R309" s="3"/>
      <c r="S309" s="3"/>
      <c r="T309" s="3"/>
      <c r="U309" s="3"/>
    </row>
    <row r="310">
      <c r="A310" s="3"/>
      <c r="B310" s="3"/>
      <c r="C310" s="3"/>
      <c r="D310" s="3"/>
      <c r="E310" s="4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4"/>
      <c r="R310" s="3"/>
      <c r="S310" s="3"/>
      <c r="T310" s="3"/>
      <c r="U310" s="3"/>
    </row>
    <row r="311">
      <c r="A311" s="3"/>
      <c r="B311" s="3"/>
      <c r="C311" s="3"/>
      <c r="D311" s="3"/>
      <c r="E311" s="4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4"/>
      <c r="R311" s="3"/>
      <c r="S311" s="3"/>
      <c r="T311" s="3"/>
      <c r="U311" s="3"/>
    </row>
    <row r="312">
      <c r="A312" s="3"/>
      <c r="B312" s="3"/>
      <c r="C312" s="3"/>
      <c r="D312" s="3"/>
      <c r="E312" s="4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4"/>
      <c r="R312" s="3"/>
      <c r="S312" s="3"/>
      <c r="T312" s="3"/>
      <c r="U312" s="3"/>
    </row>
    <row r="313">
      <c r="A313" s="3"/>
      <c r="B313" s="3"/>
      <c r="C313" s="3"/>
      <c r="D313" s="3"/>
      <c r="E313" s="4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4"/>
      <c r="R313" s="3"/>
      <c r="S313" s="3"/>
      <c r="T313" s="3"/>
      <c r="U313" s="3"/>
    </row>
    <row r="314">
      <c r="A314" s="3"/>
      <c r="B314" s="3"/>
      <c r="C314" s="3"/>
      <c r="D314" s="3"/>
      <c r="E314" s="4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4"/>
      <c r="R314" s="3"/>
      <c r="S314" s="3"/>
      <c r="T314" s="3"/>
      <c r="U314" s="3"/>
    </row>
    <row r="315">
      <c r="A315" s="3"/>
      <c r="B315" s="3"/>
      <c r="C315" s="3"/>
      <c r="D315" s="3"/>
      <c r="E315" s="4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4"/>
      <c r="R315" s="3"/>
      <c r="S315" s="3"/>
      <c r="T315" s="3"/>
      <c r="U315" s="3"/>
    </row>
    <row r="316">
      <c r="A316" s="3"/>
      <c r="B316" s="3"/>
      <c r="C316" s="3"/>
      <c r="D316" s="3"/>
      <c r="E316" s="4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4"/>
      <c r="R316" s="3"/>
      <c r="S316" s="3"/>
      <c r="T316" s="3"/>
      <c r="U316" s="3"/>
    </row>
    <row r="317">
      <c r="A317" s="3"/>
      <c r="B317" s="3"/>
      <c r="C317" s="3"/>
      <c r="D317" s="3"/>
      <c r="E317" s="4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4"/>
      <c r="R317" s="3"/>
      <c r="S317" s="3"/>
      <c r="T317" s="3"/>
      <c r="U317" s="3"/>
    </row>
    <row r="318">
      <c r="A318" s="3"/>
      <c r="B318" s="3"/>
      <c r="C318" s="3"/>
      <c r="D318" s="3"/>
      <c r="E318" s="4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4"/>
      <c r="R318" s="3"/>
      <c r="S318" s="3"/>
      <c r="T318" s="3"/>
      <c r="U318" s="3"/>
    </row>
    <row r="319">
      <c r="A319" s="3"/>
      <c r="B319" s="3"/>
      <c r="C319" s="3"/>
      <c r="D319" s="3"/>
      <c r="E319" s="4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4"/>
      <c r="R319" s="3"/>
      <c r="S319" s="3"/>
      <c r="T319" s="3"/>
      <c r="U319" s="3"/>
    </row>
    <row r="320">
      <c r="A320" s="3"/>
      <c r="B320" s="3"/>
      <c r="C320" s="3"/>
      <c r="D320" s="3"/>
      <c r="E320" s="4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4"/>
      <c r="R320" s="3"/>
      <c r="S320" s="3"/>
      <c r="T320" s="3"/>
      <c r="U320" s="3"/>
    </row>
    <row r="321">
      <c r="A321" s="3"/>
      <c r="B321" s="3"/>
      <c r="C321" s="3"/>
      <c r="D321" s="3"/>
      <c r="E321" s="4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4"/>
      <c r="R321" s="3"/>
      <c r="S321" s="3"/>
      <c r="T321" s="3"/>
      <c r="U321" s="3"/>
    </row>
    <row r="322">
      <c r="A322" s="3"/>
      <c r="B322" s="3"/>
      <c r="C322" s="3"/>
      <c r="D322" s="3"/>
      <c r="E322" s="4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4"/>
      <c r="R322" s="3"/>
      <c r="S322" s="3"/>
      <c r="T322" s="3"/>
      <c r="U322" s="3"/>
    </row>
    <row r="323">
      <c r="A323" s="3"/>
      <c r="B323" s="3"/>
      <c r="C323" s="3"/>
      <c r="D323" s="3"/>
      <c r="E323" s="4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4"/>
      <c r="R323" s="3"/>
      <c r="S323" s="3"/>
      <c r="T323" s="3"/>
      <c r="U323" s="3"/>
    </row>
    <row r="324">
      <c r="A324" s="3"/>
      <c r="B324" s="3"/>
      <c r="C324" s="3"/>
      <c r="D324" s="3"/>
      <c r="E324" s="4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4"/>
      <c r="R324" s="3"/>
      <c r="S324" s="3"/>
      <c r="T324" s="3"/>
      <c r="U324" s="3"/>
    </row>
    <row r="325">
      <c r="A325" s="3"/>
      <c r="B325" s="3"/>
      <c r="C325" s="3"/>
      <c r="D325" s="3"/>
      <c r="E325" s="4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4"/>
      <c r="R325" s="3"/>
      <c r="S325" s="3"/>
      <c r="T325" s="3"/>
      <c r="U325" s="3"/>
    </row>
    <row r="326">
      <c r="A326" s="3"/>
      <c r="B326" s="3"/>
      <c r="C326" s="3"/>
      <c r="D326" s="3"/>
      <c r="E326" s="4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4"/>
      <c r="R326" s="3"/>
      <c r="S326" s="3"/>
      <c r="T326" s="3"/>
      <c r="U326" s="3"/>
    </row>
    <row r="327">
      <c r="A327" s="3"/>
      <c r="B327" s="3"/>
      <c r="C327" s="3"/>
      <c r="D327" s="3"/>
      <c r="E327" s="4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4"/>
      <c r="R327" s="3"/>
      <c r="S327" s="3"/>
      <c r="T327" s="3"/>
      <c r="U327" s="3"/>
    </row>
    <row r="328">
      <c r="A328" s="3"/>
      <c r="B328" s="3"/>
      <c r="C328" s="3"/>
      <c r="D328" s="3"/>
      <c r="E328" s="4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4"/>
      <c r="R328" s="3"/>
      <c r="S328" s="3"/>
      <c r="T328" s="3"/>
      <c r="U328" s="3"/>
    </row>
    <row r="329">
      <c r="A329" s="3"/>
      <c r="B329" s="3"/>
      <c r="C329" s="3"/>
      <c r="D329" s="3"/>
      <c r="E329" s="4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4"/>
      <c r="R329" s="3"/>
      <c r="S329" s="3"/>
      <c r="T329" s="3"/>
      <c r="U329" s="3"/>
    </row>
    <row r="330">
      <c r="A330" s="3"/>
      <c r="B330" s="3"/>
      <c r="C330" s="3"/>
      <c r="D330" s="3"/>
      <c r="E330" s="4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4"/>
      <c r="R330" s="3"/>
      <c r="S330" s="3"/>
      <c r="T330" s="3"/>
      <c r="U330" s="3"/>
    </row>
    <row r="331">
      <c r="A331" s="3"/>
      <c r="B331" s="3"/>
      <c r="C331" s="3"/>
      <c r="D331" s="3"/>
      <c r="E331" s="4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4"/>
      <c r="R331" s="3"/>
      <c r="S331" s="3"/>
      <c r="T331" s="3"/>
      <c r="U331" s="3"/>
    </row>
    <row r="332">
      <c r="A332" s="3"/>
      <c r="B332" s="3"/>
      <c r="C332" s="3"/>
      <c r="D332" s="3"/>
      <c r="E332" s="4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4"/>
      <c r="R332" s="3"/>
      <c r="S332" s="3"/>
      <c r="T332" s="3"/>
      <c r="U332" s="3"/>
    </row>
    <row r="333">
      <c r="A333" s="3"/>
      <c r="B333" s="3"/>
      <c r="C333" s="3"/>
      <c r="D333" s="3"/>
      <c r="E333" s="4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4"/>
      <c r="R333" s="3"/>
      <c r="S333" s="3"/>
      <c r="T333" s="3"/>
      <c r="U333" s="3"/>
    </row>
    <row r="334">
      <c r="A334" s="3"/>
      <c r="B334" s="3"/>
      <c r="C334" s="3"/>
      <c r="D334" s="3"/>
      <c r="E334" s="4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4"/>
      <c r="R334" s="3"/>
      <c r="S334" s="3"/>
      <c r="T334" s="3"/>
      <c r="U334" s="3"/>
    </row>
    <row r="335">
      <c r="A335" s="3"/>
      <c r="B335" s="3"/>
      <c r="C335" s="3"/>
      <c r="D335" s="3"/>
      <c r="E335" s="4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4"/>
      <c r="R335" s="3"/>
      <c r="S335" s="3"/>
      <c r="T335" s="3"/>
      <c r="U335" s="3"/>
    </row>
    <row r="336">
      <c r="A336" s="3"/>
      <c r="B336" s="3"/>
      <c r="C336" s="3"/>
      <c r="D336" s="3"/>
      <c r="E336" s="4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4"/>
      <c r="R336" s="3"/>
      <c r="S336" s="3"/>
      <c r="T336" s="3"/>
      <c r="U336" s="3"/>
    </row>
    <row r="337">
      <c r="A337" s="3"/>
      <c r="B337" s="3"/>
      <c r="C337" s="3"/>
      <c r="D337" s="3"/>
      <c r="E337" s="4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4"/>
      <c r="R337" s="3"/>
      <c r="S337" s="3"/>
      <c r="T337" s="3"/>
      <c r="U337" s="3"/>
    </row>
    <row r="338">
      <c r="A338" s="3"/>
      <c r="B338" s="3"/>
      <c r="C338" s="3"/>
      <c r="D338" s="3"/>
      <c r="E338" s="4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4"/>
      <c r="R338" s="3"/>
      <c r="S338" s="3"/>
      <c r="T338" s="3"/>
      <c r="U338" s="3"/>
    </row>
    <row r="339">
      <c r="A339" s="3"/>
      <c r="B339" s="3"/>
      <c r="C339" s="3"/>
      <c r="D339" s="3"/>
      <c r="E339" s="4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4"/>
      <c r="R339" s="3"/>
      <c r="S339" s="3"/>
      <c r="T339" s="3"/>
      <c r="U339" s="3"/>
    </row>
    <row r="340">
      <c r="A340" s="3"/>
      <c r="B340" s="3"/>
      <c r="C340" s="3"/>
      <c r="D340" s="3"/>
      <c r="E340" s="4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4"/>
      <c r="R340" s="3"/>
      <c r="S340" s="3"/>
      <c r="T340" s="3"/>
      <c r="U340" s="3"/>
    </row>
    <row r="341">
      <c r="A341" s="3"/>
      <c r="B341" s="3"/>
      <c r="C341" s="3"/>
      <c r="D341" s="3"/>
      <c r="E341" s="4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4"/>
      <c r="R341" s="3"/>
      <c r="S341" s="3"/>
      <c r="T341" s="3"/>
      <c r="U341" s="3"/>
    </row>
    <row r="342">
      <c r="A342" s="3"/>
      <c r="B342" s="3"/>
      <c r="C342" s="3"/>
      <c r="D342" s="3"/>
      <c r="E342" s="4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4"/>
      <c r="R342" s="3"/>
      <c r="S342" s="3"/>
      <c r="T342" s="3"/>
      <c r="U342" s="3"/>
    </row>
    <row r="343">
      <c r="A343" s="3"/>
      <c r="B343" s="3"/>
      <c r="C343" s="3"/>
      <c r="D343" s="3"/>
      <c r="E343" s="4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4"/>
      <c r="R343" s="3"/>
      <c r="S343" s="3"/>
      <c r="T343" s="3"/>
      <c r="U343" s="3"/>
    </row>
    <row r="344">
      <c r="A344" s="3"/>
      <c r="B344" s="3"/>
      <c r="C344" s="3"/>
      <c r="D344" s="3"/>
      <c r="E344" s="4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4"/>
      <c r="R344" s="3"/>
      <c r="S344" s="3"/>
      <c r="T344" s="3"/>
      <c r="U344" s="3"/>
    </row>
    <row r="345">
      <c r="A345" s="3"/>
      <c r="B345" s="3"/>
      <c r="C345" s="3"/>
      <c r="D345" s="3"/>
      <c r="E345" s="4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4"/>
      <c r="R345" s="3"/>
      <c r="S345" s="3"/>
      <c r="T345" s="3"/>
      <c r="U345" s="3"/>
    </row>
    <row r="346">
      <c r="A346" s="3"/>
      <c r="B346" s="3"/>
      <c r="C346" s="3"/>
      <c r="D346" s="3"/>
      <c r="E346" s="4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4"/>
      <c r="R346" s="3"/>
      <c r="S346" s="3"/>
      <c r="T346" s="3"/>
      <c r="U346" s="3"/>
    </row>
    <row r="347">
      <c r="A347" s="3"/>
      <c r="B347" s="3"/>
      <c r="C347" s="3"/>
      <c r="D347" s="3"/>
      <c r="E347" s="4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4"/>
      <c r="R347" s="3"/>
      <c r="S347" s="3"/>
      <c r="T347" s="3"/>
      <c r="U347" s="3"/>
    </row>
    <row r="348">
      <c r="A348" s="3"/>
      <c r="B348" s="3"/>
      <c r="C348" s="3"/>
      <c r="D348" s="3"/>
      <c r="E348" s="4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4"/>
      <c r="R348" s="3"/>
      <c r="S348" s="3"/>
      <c r="T348" s="3"/>
      <c r="U348" s="3"/>
    </row>
    <row r="349">
      <c r="A349" s="3"/>
      <c r="B349" s="3"/>
      <c r="C349" s="3"/>
      <c r="D349" s="3"/>
      <c r="E349" s="4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4"/>
      <c r="R349" s="3"/>
      <c r="S349" s="3"/>
      <c r="T349" s="3"/>
      <c r="U349" s="3"/>
    </row>
    <row r="350">
      <c r="A350" s="3"/>
      <c r="B350" s="3"/>
      <c r="C350" s="3"/>
      <c r="D350" s="3"/>
      <c r="E350" s="4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4"/>
      <c r="R350" s="3"/>
      <c r="S350" s="3"/>
      <c r="T350" s="3"/>
      <c r="U350" s="3"/>
    </row>
    <row r="351">
      <c r="A351" s="3"/>
      <c r="B351" s="3"/>
      <c r="C351" s="3"/>
      <c r="D351" s="3"/>
      <c r="E351" s="4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4"/>
      <c r="R351" s="3"/>
      <c r="S351" s="3"/>
      <c r="T351" s="3"/>
      <c r="U351" s="3"/>
    </row>
    <row r="352">
      <c r="A352" s="3"/>
      <c r="B352" s="3"/>
      <c r="C352" s="3"/>
      <c r="D352" s="3"/>
      <c r="E352" s="4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4"/>
      <c r="R352" s="3"/>
      <c r="S352" s="3"/>
      <c r="T352" s="3"/>
      <c r="U352" s="3"/>
    </row>
    <row r="353">
      <c r="A353" s="3"/>
      <c r="B353" s="3"/>
      <c r="C353" s="3"/>
      <c r="D353" s="3"/>
      <c r="E353" s="4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4"/>
      <c r="R353" s="3"/>
      <c r="S353" s="3"/>
      <c r="T353" s="3"/>
      <c r="U353" s="3"/>
    </row>
    <row r="354">
      <c r="A354" s="3"/>
      <c r="B354" s="3"/>
      <c r="C354" s="3"/>
      <c r="D354" s="3"/>
      <c r="E354" s="4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4"/>
      <c r="R354" s="3"/>
      <c r="S354" s="3"/>
      <c r="T354" s="3"/>
      <c r="U354" s="3"/>
    </row>
    <row r="355">
      <c r="A355" s="3"/>
      <c r="B355" s="3"/>
      <c r="C355" s="3"/>
      <c r="D355" s="3"/>
      <c r="E355" s="4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4"/>
      <c r="R355" s="3"/>
      <c r="S355" s="3"/>
      <c r="T355" s="3"/>
      <c r="U355" s="3"/>
    </row>
    <row r="356">
      <c r="A356" s="3"/>
      <c r="B356" s="3"/>
      <c r="C356" s="3"/>
      <c r="D356" s="3"/>
      <c r="E356" s="4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4"/>
      <c r="R356" s="3"/>
      <c r="S356" s="3"/>
      <c r="T356" s="3"/>
      <c r="U356" s="3"/>
    </row>
    <row r="357">
      <c r="A357" s="3"/>
      <c r="B357" s="3"/>
      <c r="C357" s="3"/>
      <c r="D357" s="3"/>
      <c r="E357" s="4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4"/>
      <c r="R357" s="3"/>
      <c r="S357" s="3"/>
      <c r="T357" s="3"/>
      <c r="U357" s="3"/>
    </row>
    <row r="358">
      <c r="A358" s="3"/>
      <c r="B358" s="3"/>
      <c r="C358" s="3"/>
      <c r="D358" s="3"/>
      <c r="E358" s="4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4"/>
      <c r="R358" s="3"/>
      <c r="S358" s="3"/>
      <c r="T358" s="3"/>
      <c r="U358" s="3"/>
    </row>
    <row r="359">
      <c r="A359" s="3"/>
      <c r="B359" s="3"/>
      <c r="C359" s="3"/>
      <c r="D359" s="3"/>
      <c r="E359" s="4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4"/>
      <c r="R359" s="3"/>
      <c r="S359" s="3"/>
      <c r="T359" s="3"/>
      <c r="U359" s="3"/>
    </row>
    <row r="360">
      <c r="A360" s="3"/>
      <c r="B360" s="3"/>
      <c r="C360" s="3"/>
      <c r="D360" s="3"/>
      <c r="E360" s="4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4"/>
      <c r="R360" s="3"/>
      <c r="S360" s="3"/>
      <c r="T360" s="3"/>
      <c r="U360" s="3"/>
    </row>
    <row r="361">
      <c r="A361" s="3"/>
      <c r="B361" s="3"/>
      <c r="C361" s="3"/>
      <c r="D361" s="3"/>
      <c r="E361" s="4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4"/>
      <c r="R361" s="3"/>
      <c r="S361" s="3"/>
      <c r="T361" s="3"/>
      <c r="U361" s="3"/>
    </row>
    <row r="362">
      <c r="A362" s="3"/>
      <c r="B362" s="3"/>
      <c r="C362" s="3"/>
      <c r="D362" s="3"/>
      <c r="E362" s="4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4"/>
      <c r="R362" s="3"/>
      <c r="S362" s="3"/>
      <c r="T362" s="3"/>
      <c r="U362" s="3"/>
    </row>
    <row r="363">
      <c r="A363" s="3"/>
      <c r="B363" s="3"/>
      <c r="C363" s="3"/>
      <c r="D363" s="3"/>
      <c r="E363" s="4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4"/>
      <c r="R363" s="3"/>
      <c r="S363" s="3"/>
      <c r="T363" s="3"/>
      <c r="U363" s="3"/>
    </row>
    <row r="364">
      <c r="A364" s="3"/>
      <c r="B364" s="3"/>
      <c r="C364" s="3"/>
      <c r="D364" s="3"/>
      <c r="E364" s="4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4"/>
      <c r="R364" s="3"/>
      <c r="S364" s="3"/>
      <c r="T364" s="3"/>
      <c r="U364" s="3"/>
    </row>
    <row r="365">
      <c r="A365" s="3"/>
      <c r="B365" s="3"/>
      <c r="C365" s="3"/>
      <c r="D365" s="3"/>
      <c r="E365" s="4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4"/>
      <c r="R365" s="3"/>
      <c r="S365" s="3"/>
      <c r="T365" s="3"/>
      <c r="U365" s="3"/>
    </row>
    <row r="366">
      <c r="A366" s="3"/>
      <c r="B366" s="3"/>
      <c r="C366" s="3"/>
      <c r="D366" s="3"/>
      <c r="E366" s="4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4"/>
      <c r="R366" s="3"/>
      <c r="S366" s="3"/>
      <c r="T366" s="3"/>
      <c r="U366" s="3"/>
    </row>
    <row r="367">
      <c r="A367" s="3"/>
      <c r="B367" s="3"/>
      <c r="C367" s="3"/>
      <c r="D367" s="3"/>
      <c r="E367" s="4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4"/>
      <c r="R367" s="3"/>
      <c r="S367" s="3"/>
      <c r="T367" s="3"/>
      <c r="U367" s="3"/>
    </row>
    <row r="368">
      <c r="A368" s="3"/>
      <c r="B368" s="3"/>
      <c r="C368" s="3"/>
      <c r="D368" s="3"/>
      <c r="E368" s="4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4"/>
      <c r="R368" s="3"/>
      <c r="S368" s="3"/>
      <c r="T368" s="3"/>
      <c r="U368" s="3"/>
    </row>
    <row r="369">
      <c r="A369" s="3"/>
      <c r="B369" s="3"/>
      <c r="C369" s="3"/>
      <c r="D369" s="3"/>
      <c r="E369" s="4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4"/>
      <c r="R369" s="3"/>
      <c r="S369" s="3"/>
      <c r="T369" s="3"/>
      <c r="U369" s="3"/>
    </row>
    <row r="370">
      <c r="A370" s="3"/>
      <c r="B370" s="3"/>
      <c r="C370" s="3"/>
      <c r="D370" s="3"/>
      <c r="E370" s="4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4"/>
      <c r="R370" s="3"/>
      <c r="S370" s="3"/>
      <c r="T370" s="3"/>
      <c r="U370" s="3"/>
    </row>
    <row r="371">
      <c r="A371" s="3"/>
      <c r="B371" s="3"/>
      <c r="C371" s="3"/>
      <c r="D371" s="3"/>
      <c r="E371" s="4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4"/>
      <c r="R371" s="3"/>
      <c r="S371" s="3"/>
      <c r="T371" s="3"/>
      <c r="U371" s="3"/>
    </row>
    <row r="372">
      <c r="A372" s="3"/>
      <c r="B372" s="3"/>
      <c r="C372" s="3"/>
      <c r="D372" s="3"/>
      <c r="E372" s="4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4"/>
      <c r="R372" s="3"/>
      <c r="S372" s="3"/>
      <c r="T372" s="3"/>
      <c r="U372" s="3"/>
    </row>
    <row r="373">
      <c r="A373" s="3"/>
      <c r="B373" s="3"/>
      <c r="C373" s="3"/>
      <c r="D373" s="3"/>
      <c r="E373" s="4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4"/>
      <c r="R373" s="3"/>
      <c r="S373" s="3"/>
      <c r="T373" s="3"/>
      <c r="U373" s="3"/>
    </row>
    <row r="374">
      <c r="A374" s="3"/>
      <c r="B374" s="3"/>
      <c r="C374" s="3"/>
      <c r="D374" s="3"/>
      <c r="E374" s="4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4"/>
      <c r="R374" s="3"/>
      <c r="S374" s="3"/>
      <c r="T374" s="3"/>
      <c r="U374" s="3"/>
    </row>
    <row r="375">
      <c r="A375" s="3"/>
      <c r="B375" s="3"/>
      <c r="C375" s="3"/>
      <c r="D375" s="3"/>
      <c r="E375" s="4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4"/>
      <c r="R375" s="3"/>
      <c r="S375" s="3"/>
      <c r="T375" s="3"/>
      <c r="U375" s="3"/>
    </row>
    <row r="376">
      <c r="A376" s="3"/>
      <c r="B376" s="3"/>
      <c r="C376" s="3"/>
      <c r="D376" s="3"/>
      <c r="E376" s="4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4"/>
      <c r="R376" s="3"/>
      <c r="S376" s="3"/>
      <c r="T376" s="3"/>
      <c r="U376" s="3"/>
    </row>
    <row r="377">
      <c r="A377" s="3"/>
      <c r="B377" s="3"/>
      <c r="C377" s="3"/>
      <c r="D377" s="3"/>
      <c r="E377" s="4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4"/>
      <c r="R377" s="3"/>
      <c r="S377" s="3"/>
      <c r="T377" s="3"/>
      <c r="U377" s="3"/>
    </row>
    <row r="378">
      <c r="A378" s="3"/>
      <c r="B378" s="3"/>
      <c r="C378" s="3"/>
      <c r="D378" s="3"/>
      <c r="E378" s="4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4"/>
      <c r="R378" s="3"/>
      <c r="S378" s="3"/>
      <c r="T378" s="3"/>
      <c r="U378" s="3"/>
    </row>
    <row r="379">
      <c r="A379" s="3"/>
      <c r="B379" s="3"/>
      <c r="C379" s="3"/>
      <c r="D379" s="3"/>
      <c r="E379" s="4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4"/>
      <c r="R379" s="3"/>
      <c r="S379" s="3"/>
      <c r="T379" s="3"/>
      <c r="U379" s="3"/>
    </row>
    <row r="380">
      <c r="A380" s="3"/>
      <c r="B380" s="3"/>
      <c r="C380" s="3"/>
      <c r="D380" s="3"/>
      <c r="E380" s="4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4"/>
      <c r="R380" s="3"/>
      <c r="S380" s="3"/>
      <c r="T380" s="3"/>
      <c r="U380" s="3"/>
    </row>
    <row r="381">
      <c r="A381" s="3"/>
      <c r="B381" s="3"/>
      <c r="C381" s="3"/>
      <c r="D381" s="3"/>
      <c r="E381" s="4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4"/>
      <c r="R381" s="3"/>
      <c r="S381" s="3"/>
      <c r="T381" s="3"/>
      <c r="U381" s="3"/>
    </row>
    <row r="382">
      <c r="A382" s="3"/>
      <c r="B382" s="3"/>
      <c r="C382" s="3"/>
      <c r="D382" s="3"/>
      <c r="E382" s="4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4"/>
      <c r="R382" s="3"/>
      <c r="S382" s="3"/>
      <c r="T382" s="3"/>
      <c r="U382" s="3"/>
    </row>
    <row r="383">
      <c r="A383" s="3"/>
      <c r="B383" s="3"/>
      <c r="C383" s="3"/>
      <c r="D383" s="3"/>
      <c r="E383" s="4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4"/>
      <c r="R383" s="3"/>
      <c r="S383" s="3"/>
      <c r="T383" s="3"/>
      <c r="U383" s="3"/>
    </row>
    <row r="384">
      <c r="A384" s="3"/>
      <c r="B384" s="3"/>
      <c r="C384" s="3"/>
      <c r="D384" s="3"/>
      <c r="E384" s="4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4"/>
      <c r="R384" s="3"/>
      <c r="S384" s="3"/>
      <c r="T384" s="3"/>
      <c r="U384" s="3"/>
    </row>
    <row r="385">
      <c r="A385" s="3"/>
      <c r="B385" s="3"/>
      <c r="C385" s="3"/>
      <c r="D385" s="3"/>
      <c r="E385" s="4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4"/>
      <c r="R385" s="3"/>
      <c r="S385" s="3"/>
      <c r="T385" s="3"/>
      <c r="U385" s="3"/>
    </row>
    <row r="386">
      <c r="A386" s="3"/>
      <c r="B386" s="3"/>
      <c r="C386" s="3"/>
      <c r="D386" s="3"/>
      <c r="E386" s="4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4"/>
      <c r="R386" s="3"/>
      <c r="S386" s="3"/>
      <c r="T386" s="3"/>
      <c r="U386" s="3"/>
    </row>
    <row r="387">
      <c r="A387" s="3"/>
      <c r="B387" s="3"/>
      <c r="C387" s="3"/>
      <c r="D387" s="3"/>
      <c r="E387" s="4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4"/>
      <c r="R387" s="3"/>
      <c r="S387" s="3"/>
      <c r="T387" s="3"/>
      <c r="U387" s="3"/>
    </row>
    <row r="388">
      <c r="A388" s="3"/>
      <c r="B388" s="3"/>
      <c r="C388" s="3"/>
      <c r="D388" s="3"/>
      <c r="E388" s="4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4"/>
      <c r="R388" s="3"/>
      <c r="S388" s="3"/>
      <c r="T388" s="3"/>
      <c r="U388" s="3"/>
    </row>
    <row r="389">
      <c r="A389" s="3"/>
      <c r="B389" s="3"/>
      <c r="C389" s="3"/>
      <c r="D389" s="3"/>
      <c r="E389" s="4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4"/>
      <c r="R389" s="3"/>
      <c r="S389" s="3"/>
      <c r="T389" s="3"/>
      <c r="U389" s="3"/>
    </row>
    <row r="390">
      <c r="A390" s="3"/>
      <c r="B390" s="3"/>
      <c r="C390" s="3"/>
      <c r="D390" s="3"/>
      <c r="E390" s="4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4"/>
      <c r="R390" s="3"/>
      <c r="S390" s="3"/>
      <c r="T390" s="3"/>
      <c r="U390" s="3"/>
    </row>
    <row r="391">
      <c r="A391" s="3"/>
      <c r="B391" s="3"/>
      <c r="C391" s="3"/>
      <c r="D391" s="3"/>
      <c r="E391" s="4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4"/>
      <c r="R391" s="3"/>
      <c r="S391" s="3"/>
      <c r="T391" s="3"/>
      <c r="U391" s="3"/>
    </row>
    <row r="392">
      <c r="A392" s="3"/>
      <c r="B392" s="3"/>
      <c r="C392" s="3"/>
      <c r="D392" s="3"/>
      <c r="E392" s="4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4"/>
      <c r="R392" s="3"/>
      <c r="S392" s="3"/>
      <c r="T392" s="3"/>
      <c r="U392" s="3"/>
    </row>
    <row r="393">
      <c r="A393" s="3"/>
      <c r="B393" s="3"/>
      <c r="C393" s="3"/>
      <c r="D393" s="3"/>
      <c r="E393" s="4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4"/>
      <c r="R393" s="3"/>
      <c r="S393" s="3"/>
      <c r="T393" s="3"/>
      <c r="U393" s="3"/>
    </row>
    <row r="394">
      <c r="A394" s="3"/>
      <c r="B394" s="3"/>
      <c r="C394" s="3"/>
      <c r="D394" s="3"/>
      <c r="E394" s="4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4"/>
      <c r="R394" s="3"/>
      <c r="S394" s="3"/>
      <c r="T394" s="3"/>
      <c r="U394" s="3"/>
    </row>
    <row r="395">
      <c r="A395" s="3"/>
      <c r="B395" s="3"/>
      <c r="C395" s="3"/>
      <c r="D395" s="3"/>
      <c r="E395" s="4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4"/>
      <c r="R395" s="3"/>
      <c r="S395" s="3"/>
      <c r="T395" s="3"/>
      <c r="U395" s="3"/>
    </row>
    <row r="396">
      <c r="A396" s="3"/>
      <c r="B396" s="3"/>
      <c r="C396" s="3"/>
      <c r="D396" s="3"/>
      <c r="E396" s="4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4"/>
      <c r="R396" s="3"/>
      <c r="S396" s="3"/>
      <c r="T396" s="3"/>
      <c r="U396" s="3"/>
    </row>
    <row r="397">
      <c r="A397" s="3"/>
      <c r="B397" s="3"/>
      <c r="C397" s="3"/>
      <c r="D397" s="3"/>
      <c r="E397" s="4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4"/>
      <c r="R397" s="3"/>
      <c r="S397" s="3"/>
      <c r="T397" s="3"/>
      <c r="U397" s="3"/>
    </row>
    <row r="398">
      <c r="A398" s="3"/>
      <c r="B398" s="3"/>
      <c r="C398" s="3"/>
      <c r="D398" s="3"/>
      <c r="E398" s="4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4"/>
      <c r="R398" s="3"/>
      <c r="S398" s="3"/>
      <c r="T398" s="3"/>
      <c r="U398" s="3"/>
    </row>
    <row r="399">
      <c r="A399" s="3"/>
      <c r="B399" s="3"/>
      <c r="C399" s="3"/>
      <c r="D399" s="3"/>
      <c r="E399" s="4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4"/>
      <c r="R399" s="3"/>
      <c r="S399" s="3"/>
      <c r="T399" s="3"/>
      <c r="U399" s="3"/>
    </row>
    <row r="400">
      <c r="A400" s="3"/>
      <c r="B400" s="3"/>
      <c r="C400" s="3"/>
      <c r="D400" s="3"/>
      <c r="E400" s="4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4"/>
      <c r="R400" s="3"/>
      <c r="S400" s="3"/>
      <c r="T400" s="3"/>
      <c r="U400" s="3"/>
    </row>
    <row r="401">
      <c r="A401" s="3"/>
      <c r="B401" s="3"/>
      <c r="C401" s="3"/>
      <c r="D401" s="3"/>
      <c r="E401" s="4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4"/>
      <c r="R401" s="3"/>
      <c r="S401" s="3"/>
      <c r="T401" s="3"/>
      <c r="U401" s="3"/>
    </row>
    <row r="402">
      <c r="A402" s="3"/>
      <c r="B402" s="3"/>
      <c r="C402" s="3"/>
      <c r="D402" s="3"/>
      <c r="E402" s="4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4"/>
      <c r="R402" s="3"/>
      <c r="S402" s="3"/>
      <c r="T402" s="3"/>
      <c r="U402" s="3"/>
    </row>
    <row r="403">
      <c r="A403" s="3"/>
      <c r="B403" s="3"/>
      <c r="C403" s="3"/>
      <c r="D403" s="3"/>
      <c r="E403" s="4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4"/>
      <c r="R403" s="3"/>
      <c r="S403" s="3"/>
      <c r="T403" s="3"/>
      <c r="U403" s="3"/>
    </row>
    <row r="404">
      <c r="A404" s="3"/>
      <c r="B404" s="3"/>
      <c r="C404" s="3"/>
      <c r="D404" s="3"/>
      <c r="E404" s="4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4"/>
      <c r="R404" s="3"/>
      <c r="S404" s="3"/>
      <c r="T404" s="3"/>
      <c r="U404" s="3"/>
    </row>
    <row r="405">
      <c r="A405" s="3"/>
      <c r="B405" s="3"/>
      <c r="C405" s="3"/>
      <c r="D405" s="3"/>
      <c r="E405" s="4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4"/>
      <c r="R405" s="3"/>
      <c r="S405" s="3"/>
      <c r="T405" s="3"/>
      <c r="U405" s="3"/>
    </row>
    <row r="406">
      <c r="A406" s="3"/>
      <c r="B406" s="3"/>
      <c r="C406" s="3"/>
      <c r="D406" s="3"/>
      <c r="E406" s="4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4"/>
      <c r="R406" s="3"/>
      <c r="S406" s="3"/>
      <c r="T406" s="3"/>
      <c r="U406" s="3"/>
    </row>
    <row r="407">
      <c r="A407" s="3"/>
      <c r="B407" s="3"/>
      <c r="C407" s="3"/>
      <c r="D407" s="3"/>
      <c r="E407" s="4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4"/>
      <c r="R407" s="3"/>
      <c r="S407" s="3"/>
      <c r="T407" s="3"/>
      <c r="U407" s="3"/>
    </row>
    <row r="408">
      <c r="A408" s="3"/>
      <c r="B408" s="3"/>
      <c r="C408" s="3"/>
      <c r="D408" s="3"/>
      <c r="E408" s="4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4"/>
      <c r="R408" s="3"/>
      <c r="S408" s="3"/>
      <c r="T408" s="3"/>
      <c r="U408" s="3"/>
    </row>
    <row r="409">
      <c r="A409" s="3"/>
      <c r="B409" s="3"/>
      <c r="C409" s="3"/>
      <c r="D409" s="3"/>
      <c r="E409" s="4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4"/>
      <c r="R409" s="3"/>
      <c r="S409" s="3"/>
      <c r="T409" s="3"/>
      <c r="U409" s="3"/>
    </row>
    <row r="410">
      <c r="A410" s="3"/>
      <c r="B410" s="3"/>
      <c r="C410" s="3"/>
      <c r="D410" s="3"/>
      <c r="E410" s="4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4"/>
      <c r="R410" s="3"/>
      <c r="S410" s="3"/>
      <c r="T410" s="3"/>
      <c r="U410" s="3"/>
    </row>
    <row r="411">
      <c r="A411" s="3"/>
      <c r="B411" s="3"/>
      <c r="C411" s="3"/>
      <c r="D411" s="3"/>
      <c r="E411" s="4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4"/>
      <c r="R411" s="3"/>
      <c r="S411" s="3"/>
      <c r="T411" s="3"/>
      <c r="U411" s="3"/>
    </row>
    <row r="412">
      <c r="A412" s="3"/>
      <c r="B412" s="3"/>
      <c r="C412" s="3"/>
      <c r="D412" s="3"/>
      <c r="E412" s="4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4"/>
      <c r="R412" s="3"/>
      <c r="S412" s="3"/>
      <c r="T412" s="3"/>
      <c r="U412" s="3"/>
    </row>
    <row r="413">
      <c r="A413" s="3"/>
      <c r="B413" s="3"/>
      <c r="C413" s="3"/>
      <c r="D413" s="3"/>
      <c r="E413" s="4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4"/>
      <c r="R413" s="3"/>
      <c r="S413" s="3"/>
      <c r="T413" s="3"/>
      <c r="U413" s="3"/>
    </row>
    <row r="414">
      <c r="A414" s="3"/>
      <c r="B414" s="3"/>
      <c r="C414" s="3"/>
      <c r="D414" s="3"/>
      <c r="E414" s="4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4"/>
      <c r="R414" s="3"/>
      <c r="S414" s="3"/>
      <c r="T414" s="3"/>
      <c r="U414" s="3"/>
    </row>
    <row r="415">
      <c r="A415" s="3"/>
      <c r="B415" s="3"/>
      <c r="C415" s="3"/>
      <c r="D415" s="3"/>
      <c r="E415" s="4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4"/>
      <c r="R415" s="3"/>
      <c r="S415" s="3"/>
      <c r="T415" s="3"/>
      <c r="U415" s="3"/>
    </row>
    <row r="416">
      <c r="A416" s="3"/>
      <c r="B416" s="3"/>
      <c r="C416" s="3"/>
      <c r="D416" s="3"/>
      <c r="E416" s="4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4"/>
      <c r="R416" s="3"/>
      <c r="S416" s="3"/>
      <c r="T416" s="3"/>
      <c r="U416" s="3"/>
    </row>
    <row r="417">
      <c r="A417" s="3"/>
      <c r="B417" s="3"/>
      <c r="C417" s="3"/>
      <c r="D417" s="3"/>
      <c r="E417" s="4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4"/>
      <c r="R417" s="3"/>
      <c r="S417" s="3"/>
      <c r="T417" s="3"/>
      <c r="U417" s="3"/>
    </row>
    <row r="418">
      <c r="A418" s="3"/>
      <c r="B418" s="3"/>
      <c r="C418" s="3"/>
      <c r="D418" s="3"/>
      <c r="E418" s="4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4"/>
      <c r="R418" s="3"/>
      <c r="S418" s="3"/>
      <c r="T418" s="3"/>
      <c r="U418" s="3"/>
    </row>
    <row r="419">
      <c r="A419" s="3"/>
      <c r="B419" s="3"/>
      <c r="C419" s="3"/>
      <c r="D419" s="3"/>
      <c r="E419" s="4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4"/>
      <c r="R419" s="3"/>
      <c r="S419" s="3"/>
      <c r="T419" s="3"/>
      <c r="U419" s="3"/>
    </row>
    <row r="420">
      <c r="A420" s="3"/>
      <c r="B420" s="3"/>
      <c r="C420" s="3"/>
      <c r="D420" s="3"/>
      <c r="E420" s="4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4"/>
      <c r="R420" s="3"/>
      <c r="S420" s="3"/>
      <c r="T420" s="3"/>
      <c r="U420" s="3"/>
    </row>
    <row r="421">
      <c r="A421" s="3"/>
      <c r="B421" s="3"/>
      <c r="C421" s="3"/>
      <c r="D421" s="3"/>
      <c r="E421" s="4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4"/>
      <c r="R421" s="3"/>
      <c r="S421" s="3"/>
      <c r="T421" s="3"/>
      <c r="U421" s="3"/>
    </row>
    <row r="422">
      <c r="A422" s="3"/>
      <c r="B422" s="3"/>
      <c r="C422" s="3"/>
      <c r="D422" s="3"/>
      <c r="E422" s="4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4"/>
      <c r="R422" s="3"/>
      <c r="S422" s="3"/>
      <c r="T422" s="3"/>
      <c r="U422" s="3"/>
    </row>
    <row r="423">
      <c r="A423" s="3"/>
      <c r="B423" s="3"/>
      <c r="C423" s="3"/>
      <c r="D423" s="3"/>
      <c r="E423" s="4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4"/>
      <c r="R423" s="3"/>
      <c r="S423" s="3"/>
      <c r="T423" s="3"/>
      <c r="U423" s="3"/>
    </row>
    <row r="424">
      <c r="A424" s="3"/>
      <c r="B424" s="3"/>
      <c r="C424" s="3"/>
      <c r="D424" s="3"/>
      <c r="E424" s="4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4"/>
      <c r="R424" s="3"/>
      <c r="S424" s="3"/>
      <c r="T424" s="3"/>
      <c r="U424" s="3"/>
    </row>
    <row r="425">
      <c r="A425" s="3"/>
      <c r="B425" s="3"/>
      <c r="C425" s="3"/>
      <c r="D425" s="3"/>
      <c r="E425" s="4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4"/>
      <c r="R425" s="3"/>
      <c r="S425" s="3"/>
      <c r="T425" s="3"/>
      <c r="U425" s="3"/>
    </row>
    <row r="426">
      <c r="A426" s="3"/>
      <c r="B426" s="3"/>
      <c r="C426" s="3"/>
      <c r="D426" s="3"/>
      <c r="E426" s="4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4"/>
      <c r="R426" s="3"/>
      <c r="S426" s="3"/>
      <c r="T426" s="3"/>
      <c r="U426" s="3"/>
    </row>
    <row r="427">
      <c r="A427" s="3"/>
      <c r="B427" s="3"/>
      <c r="C427" s="3"/>
      <c r="D427" s="3"/>
      <c r="E427" s="4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4"/>
      <c r="R427" s="3"/>
      <c r="S427" s="3"/>
      <c r="T427" s="3"/>
      <c r="U427" s="3"/>
    </row>
    <row r="428">
      <c r="A428" s="3"/>
      <c r="B428" s="3"/>
      <c r="C428" s="3"/>
      <c r="D428" s="3"/>
      <c r="E428" s="4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4"/>
      <c r="R428" s="3"/>
      <c r="S428" s="3"/>
      <c r="T428" s="3"/>
      <c r="U428" s="3"/>
    </row>
    <row r="429">
      <c r="A429" s="3"/>
      <c r="B429" s="3"/>
      <c r="C429" s="3"/>
      <c r="D429" s="3"/>
      <c r="E429" s="4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4"/>
      <c r="R429" s="3"/>
      <c r="S429" s="3"/>
      <c r="T429" s="3"/>
      <c r="U429" s="3"/>
    </row>
    <row r="430">
      <c r="A430" s="3"/>
      <c r="B430" s="3"/>
      <c r="C430" s="3"/>
      <c r="D430" s="3"/>
      <c r="E430" s="4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4"/>
      <c r="R430" s="3"/>
      <c r="S430" s="3"/>
      <c r="T430" s="3"/>
      <c r="U430" s="3"/>
    </row>
    <row r="431">
      <c r="A431" s="3"/>
      <c r="B431" s="3"/>
      <c r="C431" s="3"/>
      <c r="D431" s="3"/>
      <c r="E431" s="4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4"/>
      <c r="R431" s="3"/>
      <c r="S431" s="3"/>
      <c r="T431" s="3"/>
      <c r="U431" s="3"/>
    </row>
    <row r="432">
      <c r="A432" s="3"/>
      <c r="B432" s="3"/>
      <c r="C432" s="3"/>
      <c r="D432" s="3"/>
      <c r="E432" s="4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4"/>
      <c r="R432" s="3"/>
      <c r="S432" s="3"/>
      <c r="T432" s="3"/>
      <c r="U432" s="3"/>
    </row>
    <row r="433">
      <c r="A433" s="3"/>
      <c r="B433" s="3"/>
      <c r="C433" s="3"/>
      <c r="D433" s="3"/>
      <c r="E433" s="4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4"/>
      <c r="R433" s="3"/>
      <c r="S433" s="3"/>
      <c r="T433" s="3"/>
      <c r="U433" s="3"/>
    </row>
    <row r="434">
      <c r="A434" s="3"/>
      <c r="B434" s="3"/>
      <c r="C434" s="3"/>
      <c r="D434" s="3"/>
      <c r="E434" s="4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4"/>
      <c r="R434" s="3"/>
      <c r="S434" s="3"/>
      <c r="T434" s="3"/>
      <c r="U434" s="3"/>
    </row>
    <row r="435">
      <c r="A435" s="3"/>
      <c r="B435" s="3"/>
      <c r="C435" s="3"/>
      <c r="D435" s="3"/>
      <c r="E435" s="4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4"/>
      <c r="R435" s="3"/>
      <c r="S435" s="3"/>
      <c r="T435" s="3"/>
      <c r="U435" s="3"/>
    </row>
    <row r="436">
      <c r="A436" s="3"/>
      <c r="B436" s="3"/>
      <c r="C436" s="3"/>
      <c r="D436" s="3"/>
      <c r="E436" s="4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4"/>
      <c r="R436" s="3"/>
      <c r="S436" s="3"/>
      <c r="T436" s="3"/>
      <c r="U436" s="3"/>
    </row>
    <row r="437">
      <c r="A437" s="3"/>
      <c r="B437" s="3"/>
      <c r="C437" s="3"/>
      <c r="D437" s="3"/>
      <c r="E437" s="4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4"/>
      <c r="R437" s="3"/>
      <c r="S437" s="3"/>
      <c r="T437" s="3"/>
      <c r="U437" s="3"/>
    </row>
    <row r="438">
      <c r="A438" s="3"/>
      <c r="B438" s="3"/>
      <c r="C438" s="3"/>
      <c r="D438" s="3"/>
      <c r="E438" s="4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4"/>
      <c r="R438" s="3"/>
      <c r="S438" s="3"/>
      <c r="T438" s="3"/>
      <c r="U438" s="3"/>
    </row>
    <row r="439">
      <c r="A439" s="3"/>
      <c r="B439" s="3"/>
      <c r="C439" s="3"/>
      <c r="D439" s="3"/>
      <c r="E439" s="4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4"/>
      <c r="R439" s="3"/>
      <c r="S439" s="3"/>
      <c r="T439" s="3"/>
      <c r="U439" s="3"/>
    </row>
    <row r="440">
      <c r="A440" s="3"/>
      <c r="B440" s="3"/>
      <c r="C440" s="3"/>
      <c r="D440" s="3"/>
      <c r="E440" s="4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4"/>
      <c r="R440" s="3"/>
      <c r="S440" s="3"/>
      <c r="T440" s="3"/>
      <c r="U440" s="3"/>
    </row>
    <row r="441">
      <c r="A441" s="3"/>
      <c r="B441" s="3"/>
      <c r="C441" s="3"/>
      <c r="D441" s="3"/>
      <c r="E441" s="4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4"/>
      <c r="R441" s="3"/>
      <c r="S441" s="3"/>
      <c r="T441" s="3"/>
      <c r="U441" s="3"/>
    </row>
    <row r="442">
      <c r="A442" s="3"/>
      <c r="B442" s="3"/>
      <c r="C442" s="3"/>
      <c r="D442" s="3"/>
      <c r="E442" s="4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4"/>
      <c r="R442" s="3"/>
      <c r="S442" s="3"/>
      <c r="T442" s="3"/>
      <c r="U442" s="3"/>
    </row>
    <row r="443">
      <c r="A443" s="3"/>
      <c r="B443" s="3"/>
      <c r="C443" s="3"/>
      <c r="D443" s="3"/>
      <c r="E443" s="4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4"/>
      <c r="R443" s="3"/>
      <c r="S443" s="3"/>
      <c r="T443" s="3"/>
      <c r="U443" s="3"/>
    </row>
    <row r="444">
      <c r="A444" s="3"/>
      <c r="B444" s="3"/>
      <c r="C444" s="3"/>
      <c r="D444" s="3"/>
      <c r="E444" s="4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4"/>
      <c r="R444" s="3"/>
      <c r="S444" s="3"/>
      <c r="T444" s="3"/>
      <c r="U444" s="3"/>
    </row>
    <row r="445">
      <c r="A445" s="3"/>
      <c r="B445" s="3"/>
      <c r="C445" s="3"/>
      <c r="D445" s="3"/>
      <c r="E445" s="4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4"/>
      <c r="R445" s="3"/>
      <c r="S445" s="3"/>
      <c r="T445" s="3"/>
      <c r="U445" s="3"/>
    </row>
    <row r="446">
      <c r="A446" s="3"/>
      <c r="B446" s="3"/>
      <c r="C446" s="3"/>
      <c r="D446" s="3"/>
      <c r="E446" s="4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4"/>
      <c r="R446" s="3"/>
      <c r="S446" s="3"/>
      <c r="T446" s="3"/>
      <c r="U446" s="3"/>
    </row>
    <row r="447">
      <c r="A447" s="3"/>
      <c r="B447" s="3"/>
      <c r="C447" s="3"/>
      <c r="D447" s="3"/>
      <c r="E447" s="4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4"/>
      <c r="R447" s="3"/>
      <c r="S447" s="3"/>
      <c r="T447" s="3"/>
      <c r="U447" s="3"/>
    </row>
    <row r="448">
      <c r="A448" s="3"/>
      <c r="B448" s="3"/>
      <c r="C448" s="3"/>
      <c r="D448" s="3"/>
      <c r="E448" s="4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4"/>
      <c r="R448" s="3"/>
      <c r="S448" s="3"/>
      <c r="T448" s="3"/>
      <c r="U448" s="3"/>
    </row>
    <row r="449">
      <c r="A449" s="3"/>
      <c r="B449" s="3"/>
      <c r="C449" s="3"/>
      <c r="D449" s="3"/>
      <c r="E449" s="4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4"/>
      <c r="R449" s="3"/>
      <c r="S449" s="3"/>
      <c r="T449" s="3"/>
      <c r="U449" s="3"/>
    </row>
    <row r="450">
      <c r="A450" s="3"/>
      <c r="B450" s="3"/>
      <c r="C450" s="3"/>
      <c r="D450" s="3"/>
      <c r="E450" s="4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4"/>
      <c r="R450" s="3"/>
      <c r="S450" s="3"/>
      <c r="T450" s="3"/>
      <c r="U450" s="3"/>
    </row>
    <row r="451">
      <c r="A451" s="3"/>
      <c r="B451" s="3"/>
      <c r="C451" s="3"/>
      <c r="D451" s="3"/>
      <c r="E451" s="4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4"/>
      <c r="R451" s="3"/>
      <c r="S451" s="3"/>
      <c r="T451" s="3"/>
      <c r="U451" s="3"/>
    </row>
    <row r="452">
      <c r="A452" s="3"/>
      <c r="B452" s="3"/>
      <c r="C452" s="3"/>
      <c r="D452" s="3"/>
      <c r="E452" s="4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4"/>
      <c r="R452" s="3"/>
      <c r="S452" s="3"/>
      <c r="T452" s="3"/>
      <c r="U452" s="3"/>
    </row>
    <row r="453">
      <c r="A453" s="3"/>
      <c r="B453" s="3"/>
      <c r="C453" s="3"/>
      <c r="D453" s="3"/>
      <c r="E453" s="4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4"/>
      <c r="R453" s="3"/>
      <c r="S453" s="3"/>
      <c r="T453" s="3"/>
      <c r="U453" s="3"/>
    </row>
    <row r="454">
      <c r="A454" s="3"/>
      <c r="B454" s="3"/>
      <c r="C454" s="3"/>
      <c r="D454" s="3"/>
      <c r="E454" s="4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4"/>
      <c r="R454" s="3"/>
      <c r="S454" s="3"/>
      <c r="T454" s="3"/>
      <c r="U454" s="3"/>
    </row>
    <row r="455">
      <c r="A455" s="3"/>
      <c r="B455" s="3"/>
      <c r="C455" s="3"/>
      <c r="D455" s="3"/>
      <c r="E455" s="4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4"/>
      <c r="R455" s="3"/>
      <c r="S455" s="3"/>
      <c r="T455" s="3"/>
      <c r="U455" s="3"/>
    </row>
    <row r="456">
      <c r="A456" s="3"/>
      <c r="B456" s="3"/>
      <c r="C456" s="3"/>
      <c r="D456" s="3"/>
      <c r="E456" s="4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4"/>
      <c r="R456" s="3"/>
      <c r="S456" s="3"/>
      <c r="T456" s="3"/>
      <c r="U456" s="3"/>
    </row>
    <row r="457">
      <c r="A457" s="3"/>
      <c r="B457" s="3"/>
      <c r="C457" s="3"/>
      <c r="D457" s="3"/>
      <c r="E457" s="4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4"/>
      <c r="R457" s="3"/>
      <c r="S457" s="3"/>
      <c r="T457" s="3"/>
      <c r="U457" s="3"/>
    </row>
    <row r="458">
      <c r="A458" s="3"/>
      <c r="B458" s="3"/>
      <c r="C458" s="3"/>
      <c r="D458" s="3"/>
      <c r="E458" s="4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4"/>
      <c r="R458" s="3"/>
      <c r="S458" s="3"/>
      <c r="T458" s="3"/>
      <c r="U458" s="3"/>
    </row>
    <row r="459">
      <c r="A459" s="3"/>
      <c r="B459" s="3"/>
      <c r="C459" s="3"/>
      <c r="D459" s="3"/>
      <c r="E459" s="4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4"/>
      <c r="R459" s="3"/>
      <c r="S459" s="3"/>
      <c r="T459" s="3"/>
      <c r="U459" s="3"/>
    </row>
    <row r="460">
      <c r="A460" s="3"/>
      <c r="B460" s="3"/>
      <c r="C460" s="3"/>
      <c r="D460" s="3"/>
      <c r="E460" s="4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4"/>
      <c r="R460" s="3"/>
      <c r="S460" s="3"/>
      <c r="T460" s="3"/>
      <c r="U460" s="3"/>
    </row>
    <row r="461">
      <c r="A461" s="3"/>
      <c r="B461" s="3"/>
      <c r="C461" s="3"/>
      <c r="D461" s="3"/>
      <c r="E461" s="4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4"/>
      <c r="R461" s="3"/>
      <c r="S461" s="3"/>
      <c r="T461" s="3"/>
      <c r="U461" s="3"/>
    </row>
    <row r="462">
      <c r="A462" s="3"/>
      <c r="B462" s="3"/>
      <c r="C462" s="3"/>
      <c r="D462" s="3"/>
      <c r="E462" s="4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4"/>
      <c r="R462" s="3"/>
      <c r="S462" s="3"/>
      <c r="T462" s="3"/>
      <c r="U462" s="3"/>
    </row>
    <row r="463">
      <c r="A463" s="3"/>
      <c r="B463" s="3"/>
      <c r="C463" s="3"/>
      <c r="D463" s="3"/>
      <c r="E463" s="4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4"/>
      <c r="R463" s="3"/>
      <c r="S463" s="3"/>
      <c r="T463" s="3"/>
      <c r="U463" s="3"/>
    </row>
    <row r="464">
      <c r="A464" s="3"/>
      <c r="B464" s="3"/>
      <c r="C464" s="3"/>
      <c r="D464" s="3"/>
      <c r="E464" s="4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4"/>
      <c r="R464" s="3"/>
      <c r="S464" s="3"/>
      <c r="T464" s="3"/>
      <c r="U464" s="3"/>
    </row>
    <row r="465">
      <c r="A465" s="3"/>
      <c r="B465" s="3"/>
      <c r="C465" s="3"/>
      <c r="D465" s="3"/>
      <c r="E465" s="4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4"/>
      <c r="R465" s="3"/>
      <c r="S465" s="3"/>
      <c r="T465" s="3"/>
      <c r="U465" s="3"/>
    </row>
    <row r="466">
      <c r="A466" s="3"/>
      <c r="B466" s="3"/>
      <c r="C466" s="3"/>
      <c r="D466" s="3"/>
      <c r="E466" s="4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4"/>
      <c r="R466" s="3"/>
      <c r="S466" s="3"/>
      <c r="T466" s="3"/>
      <c r="U466" s="3"/>
    </row>
    <row r="467">
      <c r="A467" s="3"/>
      <c r="B467" s="3"/>
      <c r="C467" s="3"/>
      <c r="D467" s="3"/>
      <c r="E467" s="4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4"/>
      <c r="R467" s="3"/>
      <c r="S467" s="3"/>
      <c r="T467" s="3"/>
      <c r="U467" s="3"/>
    </row>
    <row r="468">
      <c r="A468" s="3"/>
      <c r="B468" s="3"/>
      <c r="C468" s="3"/>
      <c r="D468" s="3"/>
      <c r="E468" s="4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4"/>
      <c r="R468" s="3"/>
      <c r="S468" s="3"/>
      <c r="T468" s="3"/>
      <c r="U468" s="3"/>
    </row>
    <row r="469">
      <c r="A469" s="3"/>
      <c r="B469" s="3"/>
      <c r="C469" s="3"/>
      <c r="D469" s="3"/>
      <c r="E469" s="4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4"/>
      <c r="R469" s="3"/>
      <c r="S469" s="3"/>
      <c r="T469" s="3"/>
      <c r="U469" s="3"/>
    </row>
    <row r="470">
      <c r="A470" s="3"/>
      <c r="B470" s="3"/>
      <c r="C470" s="3"/>
      <c r="D470" s="3"/>
      <c r="E470" s="4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4"/>
      <c r="R470" s="3"/>
      <c r="S470" s="3"/>
      <c r="T470" s="3"/>
      <c r="U470" s="3"/>
    </row>
    <row r="471">
      <c r="A471" s="3"/>
      <c r="B471" s="3"/>
      <c r="C471" s="3"/>
      <c r="D471" s="3"/>
      <c r="E471" s="4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4"/>
      <c r="R471" s="3"/>
      <c r="S471" s="3"/>
      <c r="T471" s="3"/>
      <c r="U471" s="3"/>
    </row>
    <row r="472">
      <c r="A472" s="3"/>
      <c r="B472" s="3"/>
      <c r="C472" s="3"/>
      <c r="D472" s="3"/>
      <c r="E472" s="4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4"/>
      <c r="R472" s="3"/>
      <c r="S472" s="3"/>
      <c r="T472" s="3"/>
      <c r="U472" s="3"/>
    </row>
    <row r="473">
      <c r="A473" s="3"/>
      <c r="B473" s="3"/>
      <c r="C473" s="3"/>
      <c r="D473" s="3"/>
      <c r="E473" s="4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4"/>
      <c r="R473" s="3"/>
      <c r="S473" s="3"/>
      <c r="T473" s="3"/>
      <c r="U473" s="3"/>
    </row>
    <row r="474">
      <c r="A474" s="3"/>
      <c r="B474" s="3"/>
      <c r="C474" s="3"/>
      <c r="D474" s="3"/>
      <c r="E474" s="4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4"/>
      <c r="R474" s="3"/>
      <c r="S474" s="3"/>
      <c r="T474" s="3"/>
      <c r="U474" s="3"/>
    </row>
    <row r="475">
      <c r="A475" s="3"/>
      <c r="B475" s="3"/>
      <c r="C475" s="3"/>
      <c r="D475" s="3"/>
      <c r="E475" s="4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4"/>
      <c r="R475" s="3"/>
      <c r="S475" s="3"/>
      <c r="T475" s="3"/>
      <c r="U475" s="3"/>
    </row>
    <row r="476">
      <c r="A476" s="3"/>
      <c r="B476" s="3"/>
      <c r="C476" s="3"/>
      <c r="D476" s="3"/>
      <c r="E476" s="4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4"/>
      <c r="R476" s="3"/>
      <c r="S476" s="3"/>
      <c r="T476" s="3"/>
      <c r="U476" s="3"/>
    </row>
    <row r="477">
      <c r="A477" s="3"/>
      <c r="B477" s="3"/>
      <c r="C477" s="3"/>
      <c r="D477" s="3"/>
      <c r="E477" s="4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4"/>
      <c r="R477" s="3"/>
      <c r="S477" s="3"/>
      <c r="T477" s="3"/>
      <c r="U477" s="3"/>
    </row>
    <row r="478">
      <c r="A478" s="3"/>
      <c r="B478" s="3"/>
      <c r="C478" s="3"/>
      <c r="D478" s="3"/>
      <c r="E478" s="4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4"/>
      <c r="R478" s="3"/>
      <c r="S478" s="3"/>
      <c r="T478" s="3"/>
      <c r="U478" s="3"/>
    </row>
    <row r="479">
      <c r="A479" s="3"/>
      <c r="B479" s="3"/>
      <c r="C479" s="3"/>
      <c r="D479" s="3"/>
      <c r="E479" s="4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4"/>
      <c r="R479" s="3"/>
      <c r="S479" s="3"/>
      <c r="T479" s="3"/>
      <c r="U479" s="3"/>
    </row>
    <row r="480">
      <c r="A480" s="3"/>
      <c r="B480" s="3"/>
      <c r="C480" s="3"/>
      <c r="D480" s="3"/>
      <c r="E480" s="4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4"/>
      <c r="R480" s="3"/>
      <c r="S480" s="3"/>
      <c r="T480" s="3"/>
      <c r="U480" s="3"/>
    </row>
    <row r="481">
      <c r="A481" s="3"/>
      <c r="B481" s="3"/>
      <c r="C481" s="3"/>
      <c r="D481" s="3"/>
      <c r="E481" s="4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4"/>
      <c r="R481" s="3"/>
      <c r="S481" s="3"/>
      <c r="T481" s="3"/>
      <c r="U481" s="3"/>
    </row>
    <row r="482">
      <c r="A482" s="3"/>
      <c r="B482" s="3"/>
      <c r="C482" s="3"/>
      <c r="D482" s="3"/>
      <c r="E482" s="4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4"/>
      <c r="R482" s="3"/>
      <c r="S482" s="3"/>
      <c r="T482" s="3"/>
      <c r="U482" s="3"/>
    </row>
    <row r="483">
      <c r="A483" s="3"/>
      <c r="B483" s="3"/>
      <c r="C483" s="3"/>
      <c r="D483" s="3"/>
      <c r="E483" s="4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4"/>
      <c r="R483" s="3"/>
      <c r="S483" s="3"/>
      <c r="T483" s="3"/>
      <c r="U483" s="3"/>
    </row>
    <row r="484">
      <c r="A484" s="3"/>
      <c r="B484" s="3"/>
      <c r="C484" s="3"/>
      <c r="D484" s="3"/>
      <c r="E484" s="4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4"/>
      <c r="R484" s="3"/>
      <c r="S484" s="3"/>
      <c r="T484" s="3"/>
      <c r="U484" s="3"/>
    </row>
    <row r="485">
      <c r="A485" s="3"/>
      <c r="B485" s="3"/>
      <c r="C485" s="3"/>
      <c r="D485" s="3"/>
      <c r="E485" s="4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4"/>
      <c r="R485" s="3"/>
      <c r="S485" s="3"/>
      <c r="T485" s="3"/>
      <c r="U485" s="3"/>
    </row>
    <row r="486">
      <c r="A486" s="3"/>
      <c r="B486" s="3"/>
      <c r="C486" s="3"/>
      <c r="D486" s="3"/>
      <c r="E486" s="4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4"/>
      <c r="R486" s="3"/>
      <c r="S486" s="3"/>
      <c r="T486" s="3"/>
      <c r="U486" s="3"/>
    </row>
    <row r="487">
      <c r="A487" s="3"/>
      <c r="B487" s="3"/>
      <c r="C487" s="3"/>
      <c r="D487" s="3"/>
      <c r="E487" s="4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4"/>
      <c r="R487" s="3"/>
      <c r="S487" s="3"/>
      <c r="T487" s="3"/>
      <c r="U487" s="3"/>
    </row>
    <row r="488">
      <c r="A488" s="3"/>
      <c r="B488" s="3"/>
      <c r="C488" s="3"/>
      <c r="D488" s="3"/>
      <c r="E488" s="4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4"/>
      <c r="R488" s="3"/>
      <c r="S488" s="3"/>
      <c r="T488" s="3"/>
      <c r="U488" s="3"/>
    </row>
    <row r="489">
      <c r="A489" s="3"/>
      <c r="B489" s="3"/>
      <c r="C489" s="3"/>
      <c r="D489" s="3"/>
      <c r="E489" s="4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4"/>
      <c r="R489" s="3"/>
      <c r="S489" s="3"/>
      <c r="T489" s="3"/>
      <c r="U489" s="3"/>
    </row>
    <row r="490">
      <c r="A490" s="3"/>
      <c r="B490" s="3"/>
      <c r="C490" s="3"/>
      <c r="D490" s="3"/>
      <c r="E490" s="4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4"/>
      <c r="R490" s="3"/>
      <c r="S490" s="3"/>
      <c r="T490" s="3"/>
      <c r="U490" s="3"/>
    </row>
    <row r="491">
      <c r="A491" s="3"/>
      <c r="B491" s="3"/>
      <c r="C491" s="3"/>
      <c r="D491" s="3"/>
      <c r="E491" s="4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4"/>
      <c r="R491" s="3"/>
      <c r="S491" s="3"/>
      <c r="T491" s="3"/>
      <c r="U491" s="3"/>
    </row>
    <row r="492">
      <c r="A492" s="3"/>
      <c r="B492" s="3"/>
      <c r="C492" s="3"/>
      <c r="D492" s="3"/>
      <c r="E492" s="4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4"/>
      <c r="R492" s="3"/>
      <c r="S492" s="3"/>
      <c r="T492" s="3"/>
      <c r="U492" s="3"/>
    </row>
    <row r="493">
      <c r="A493" s="3"/>
      <c r="B493" s="3"/>
      <c r="C493" s="3"/>
      <c r="D493" s="3"/>
      <c r="E493" s="4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4"/>
      <c r="R493" s="3"/>
      <c r="S493" s="3"/>
      <c r="T493" s="3"/>
      <c r="U493" s="3"/>
    </row>
    <row r="494">
      <c r="A494" s="3"/>
      <c r="B494" s="3"/>
      <c r="C494" s="3"/>
      <c r="D494" s="3"/>
      <c r="E494" s="4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4"/>
      <c r="R494" s="3"/>
      <c r="S494" s="3"/>
      <c r="T494" s="3"/>
      <c r="U494" s="3"/>
    </row>
    <row r="495">
      <c r="A495" s="3"/>
      <c r="B495" s="3"/>
      <c r="C495" s="3"/>
      <c r="D495" s="3"/>
      <c r="E495" s="4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4"/>
      <c r="R495" s="3"/>
      <c r="S495" s="3"/>
      <c r="T495" s="3"/>
      <c r="U495" s="3"/>
    </row>
    <row r="496">
      <c r="A496" s="3"/>
      <c r="B496" s="3"/>
      <c r="C496" s="3"/>
      <c r="D496" s="3"/>
      <c r="E496" s="4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4"/>
      <c r="R496" s="3"/>
      <c r="S496" s="3"/>
      <c r="T496" s="3"/>
      <c r="U496" s="3"/>
    </row>
    <row r="497">
      <c r="A497" s="3"/>
      <c r="B497" s="3"/>
      <c r="C497" s="3"/>
      <c r="D497" s="3"/>
      <c r="E497" s="4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4"/>
      <c r="R497" s="3"/>
      <c r="S497" s="3"/>
      <c r="T497" s="3"/>
      <c r="U497" s="3"/>
    </row>
    <row r="498">
      <c r="A498" s="3"/>
      <c r="B498" s="3"/>
      <c r="C498" s="3"/>
      <c r="D498" s="3"/>
      <c r="E498" s="4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4"/>
      <c r="R498" s="3"/>
      <c r="S498" s="3"/>
      <c r="T498" s="3"/>
      <c r="U498" s="3"/>
    </row>
    <row r="499">
      <c r="A499" s="3"/>
      <c r="B499" s="3"/>
      <c r="C499" s="3"/>
      <c r="D499" s="3"/>
      <c r="E499" s="4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4"/>
      <c r="R499" s="3"/>
      <c r="S499" s="3"/>
      <c r="T499" s="3"/>
      <c r="U499" s="3"/>
    </row>
    <row r="500">
      <c r="A500" s="3"/>
      <c r="B500" s="3"/>
      <c r="C500" s="3"/>
      <c r="D500" s="3"/>
      <c r="E500" s="4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4"/>
      <c r="R500" s="3"/>
      <c r="S500" s="3"/>
      <c r="T500" s="3"/>
      <c r="U500" s="3"/>
    </row>
    <row r="501">
      <c r="A501" s="3"/>
      <c r="B501" s="3"/>
      <c r="C501" s="3"/>
      <c r="D501" s="3"/>
      <c r="E501" s="4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4"/>
      <c r="R501" s="3"/>
      <c r="S501" s="3"/>
      <c r="T501" s="3"/>
      <c r="U501" s="3"/>
    </row>
    <row r="502">
      <c r="A502" s="3"/>
      <c r="B502" s="3"/>
      <c r="C502" s="3"/>
      <c r="D502" s="3"/>
      <c r="E502" s="4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4"/>
      <c r="R502" s="3"/>
      <c r="S502" s="3"/>
      <c r="T502" s="3"/>
      <c r="U502" s="3"/>
    </row>
    <row r="503">
      <c r="A503" s="3"/>
      <c r="B503" s="3"/>
      <c r="C503" s="3"/>
      <c r="D503" s="3"/>
      <c r="E503" s="4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4"/>
      <c r="R503" s="3"/>
      <c r="S503" s="3"/>
      <c r="T503" s="3"/>
      <c r="U503" s="3"/>
    </row>
    <row r="504">
      <c r="A504" s="3"/>
      <c r="B504" s="3"/>
      <c r="C504" s="3"/>
      <c r="D504" s="3"/>
      <c r="E504" s="4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4"/>
      <c r="R504" s="3"/>
      <c r="S504" s="3"/>
      <c r="T504" s="3"/>
      <c r="U504" s="3"/>
    </row>
    <row r="505">
      <c r="A505" s="3"/>
      <c r="B505" s="3"/>
      <c r="C505" s="3"/>
      <c r="D505" s="3"/>
      <c r="E505" s="4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4"/>
      <c r="R505" s="3"/>
      <c r="S505" s="3"/>
      <c r="T505" s="3"/>
      <c r="U505" s="3"/>
    </row>
    <row r="506">
      <c r="A506" s="3"/>
      <c r="B506" s="3"/>
      <c r="C506" s="3"/>
      <c r="D506" s="3"/>
      <c r="E506" s="4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4"/>
      <c r="R506" s="3"/>
      <c r="S506" s="3"/>
      <c r="T506" s="3"/>
      <c r="U506" s="3"/>
    </row>
    <row r="507">
      <c r="A507" s="3"/>
      <c r="B507" s="3"/>
      <c r="C507" s="3"/>
      <c r="D507" s="3"/>
      <c r="E507" s="4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4"/>
      <c r="R507" s="3"/>
      <c r="S507" s="3"/>
      <c r="T507" s="3"/>
      <c r="U507" s="3"/>
    </row>
    <row r="508">
      <c r="A508" s="3"/>
      <c r="B508" s="3"/>
      <c r="C508" s="3"/>
      <c r="D508" s="3"/>
      <c r="E508" s="4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4"/>
      <c r="R508" s="3"/>
      <c r="S508" s="3"/>
      <c r="T508" s="3"/>
      <c r="U508" s="3"/>
    </row>
    <row r="509">
      <c r="A509" s="3"/>
      <c r="B509" s="3"/>
      <c r="C509" s="3"/>
      <c r="D509" s="3"/>
      <c r="E509" s="4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4"/>
      <c r="R509" s="3"/>
      <c r="S509" s="3"/>
      <c r="T509" s="3"/>
      <c r="U509" s="3"/>
    </row>
    <row r="510">
      <c r="A510" s="3"/>
      <c r="B510" s="3"/>
      <c r="C510" s="3"/>
      <c r="D510" s="3"/>
      <c r="E510" s="4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4"/>
      <c r="R510" s="3"/>
      <c r="S510" s="3"/>
      <c r="T510" s="3"/>
      <c r="U510" s="3"/>
    </row>
    <row r="511">
      <c r="A511" s="3"/>
      <c r="B511" s="3"/>
      <c r="C511" s="3"/>
      <c r="D511" s="3"/>
      <c r="E511" s="4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4"/>
      <c r="R511" s="3"/>
      <c r="S511" s="3"/>
      <c r="T511" s="3"/>
      <c r="U511" s="3"/>
    </row>
    <row r="512">
      <c r="A512" s="3"/>
      <c r="B512" s="3"/>
      <c r="C512" s="3"/>
      <c r="D512" s="3"/>
      <c r="E512" s="4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4"/>
      <c r="R512" s="3"/>
      <c r="S512" s="3"/>
      <c r="T512" s="3"/>
      <c r="U512" s="3"/>
    </row>
    <row r="513">
      <c r="A513" s="3"/>
      <c r="B513" s="3"/>
      <c r="C513" s="3"/>
      <c r="D513" s="3"/>
      <c r="E513" s="4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4"/>
      <c r="R513" s="3"/>
      <c r="S513" s="3"/>
      <c r="T513" s="3"/>
      <c r="U513" s="3"/>
    </row>
    <row r="514">
      <c r="A514" s="3"/>
      <c r="B514" s="3"/>
      <c r="C514" s="3"/>
      <c r="D514" s="3"/>
      <c r="E514" s="4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4"/>
      <c r="R514" s="3"/>
      <c r="S514" s="3"/>
      <c r="T514" s="3"/>
      <c r="U514" s="3"/>
    </row>
    <row r="515">
      <c r="A515" s="3"/>
      <c r="B515" s="3"/>
      <c r="C515" s="3"/>
      <c r="D515" s="3"/>
      <c r="E515" s="4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4"/>
      <c r="R515" s="3"/>
      <c r="S515" s="3"/>
      <c r="T515" s="3"/>
      <c r="U515" s="3"/>
    </row>
    <row r="516">
      <c r="A516" s="3"/>
      <c r="B516" s="3"/>
      <c r="C516" s="3"/>
      <c r="D516" s="3"/>
      <c r="E516" s="4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4"/>
      <c r="R516" s="3"/>
      <c r="S516" s="3"/>
      <c r="T516" s="3"/>
      <c r="U516" s="3"/>
    </row>
    <row r="517">
      <c r="A517" s="3"/>
      <c r="B517" s="3"/>
      <c r="C517" s="3"/>
      <c r="D517" s="3"/>
      <c r="E517" s="4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4"/>
      <c r="R517" s="3"/>
      <c r="S517" s="3"/>
      <c r="T517" s="3"/>
      <c r="U517" s="3"/>
    </row>
    <row r="518">
      <c r="A518" s="3"/>
      <c r="B518" s="3"/>
      <c r="C518" s="3"/>
      <c r="D518" s="3"/>
      <c r="E518" s="4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4"/>
      <c r="R518" s="3"/>
      <c r="S518" s="3"/>
      <c r="T518" s="3"/>
      <c r="U518" s="3"/>
    </row>
    <row r="519">
      <c r="A519" s="3"/>
      <c r="B519" s="3"/>
      <c r="C519" s="3"/>
      <c r="D519" s="3"/>
      <c r="E519" s="4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4"/>
      <c r="R519" s="3"/>
      <c r="S519" s="3"/>
      <c r="T519" s="3"/>
      <c r="U519" s="3"/>
    </row>
    <row r="520">
      <c r="A520" s="3"/>
      <c r="B520" s="3"/>
      <c r="C520" s="3"/>
      <c r="D520" s="3"/>
      <c r="E520" s="4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4"/>
      <c r="R520" s="3"/>
      <c r="S520" s="3"/>
      <c r="T520" s="3"/>
      <c r="U520" s="3"/>
    </row>
    <row r="521">
      <c r="A521" s="3"/>
      <c r="B521" s="3"/>
      <c r="C521" s="3"/>
      <c r="D521" s="3"/>
      <c r="E521" s="4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4"/>
      <c r="R521" s="3"/>
      <c r="S521" s="3"/>
      <c r="T521" s="3"/>
      <c r="U521" s="3"/>
    </row>
    <row r="522">
      <c r="A522" s="3"/>
      <c r="B522" s="3"/>
      <c r="C522" s="3"/>
      <c r="D522" s="3"/>
      <c r="E522" s="4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4"/>
      <c r="R522" s="3"/>
      <c r="S522" s="3"/>
      <c r="T522" s="3"/>
      <c r="U522" s="3"/>
    </row>
    <row r="523">
      <c r="A523" s="3"/>
      <c r="B523" s="3"/>
      <c r="C523" s="3"/>
      <c r="D523" s="3"/>
      <c r="E523" s="4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4"/>
      <c r="R523" s="3"/>
      <c r="S523" s="3"/>
      <c r="T523" s="3"/>
      <c r="U523" s="3"/>
    </row>
    <row r="524">
      <c r="A524" s="3"/>
      <c r="B524" s="3"/>
      <c r="C524" s="3"/>
      <c r="D524" s="3"/>
      <c r="E524" s="4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4"/>
      <c r="R524" s="3"/>
      <c r="S524" s="3"/>
      <c r="T524" s="3"/>
      <c r="U524" s="3"/>
    </row>
    <row r="525">
      <c r="A525" s="3"/>
      <c r="B525" s="3"/>
      <c r="C525" s="3"/>
      <c r="D525" s="3"/>
      <c r="E525" s="4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4"/>
      <c r="R525" s="3"/>
      <c r="S525" s="3"/>
      <c r="T525" s="3"/>
      <c r="U525" s="3"/>
    </row>
    <row r="526">
      <c r="A526" s="3"/>
      <c r="B526" s="3"/>
      <c r="C526" s="3"/>
      <c r="D526" s="3"/>
      <c r="E526" s="4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4"/>
      <c r="R526" s="3"/>
      <c r="S526" s="3"/>
      <c r="T526" s="3"/>
      <c r="U526" s="3"/>
    </row>
    <row r="527">
      <c r="A527" s="3"/>
      <c r="B527" s="3"/>
      <c r="C527" s="3"/>
      <c r="D527" s="3"/>
      <c r="E527" s="4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4"/>
      <c r="R527" s="3"/>
      <c r="S527" s="3"/>
      <c r="T527" s="3"/>
      <c r="U527" s="3"/>
    </row>
    <row r="528">
      <c r="A528" s="3"/>
      <c r="B528" s="3"/>
      <c r="C528" s="3"/>
      <c r="D528" s="3"/>
      <c r="E528" s="4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4"/>
      <c r="R528" s="3"/>
      <c r="S528" s="3"/>
      <c r="T528" s="3"/>
      <c r="U528" s="3"/>
    </row>
    <row r="529">
      <c r="A529" s="3"/>
      <c r="B529" s="3"/>
      <c r="C529" s="3"/>
      <c r="D529" s="3"/>
      <c r="E529" s="4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4"/>
      <c r="R529" s="3"/>
      <c r="S529" s="3"/>
      <c r="T529" s="3"/>
      <c r="U529" s="3"/>
    </row>
    <row r="530">
      <c r="A530" s="3"/>
      <c r="B530" s="3"/>
      <c r="C530" s="3"/>
      <c r="D530" s="3"/>
      <c r="E530" s="4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4"/>
      <c r="R530" s="3"/>
      <c r="S530" s="3"/>
      <c r="T530" s="3"/>
      <c r="U530" s="3"/>
    </row>
    <row r="531">
      <c r="A531" s="3"/>
      <c r="B531" s="3"/>
      <c r="C531" s="3"/>
      <c r="D531" s="3"/>
      <c r="E531" s="4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4"/>
      <c r="R531" s="3"/>
      <c r="S531" s="3"/>
      <c r="T531" s="3"/>
      <c r="U531" s="3"/>
    </row>
    <row r="532">
      <c r="A532" s="3"/>
      <c r="B532" s="3"/>
      <c r="C532" s="3"/>
      <c r="D532" s="3"/>
      <c r="E532" s="4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4"/>
      <c r="R532" s="3"/>
      <c r="S532" s="3"/>
      <c r="T532" s="3"/>
      <c r="U532" s="3"/>
    </row>
    <row r="533">
      <c r="A533" s="3"/>
      <c r="B533" s="3"/>
      <c r="C533" s="3"/>
      <c r="D533" s="3"/>
      <c r="E533" s="4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4"/>
      <c r="R533" s="3"/>
      <c r="S533" s="3"/>
      <c r="T533" s="3"/>
      <c r="U533" s="3"/>
    </row>
    <row r="534">
      <c r="A534" s="3"/>
      <c r="B534" s="3"/>
      <c r="C534" s="3"/>
      <c r="D534" s="3"/>
      <c r="E534" s="4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4"/>
      <c r="R534" s="3"/>
      <c r="S534" s="3"/>
      <c r="T534" s="3"/>
      <c r="U534" s="3"/>
    </row>
    <row r="535">
      <c r="A535" s="3"/>
      <c r="B535" s="3"/>
      <c r="C535" s="3"/>
      <c r="D535" s="3"/>
      <c r="E535" s="4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4"/>
      <c r="R535" s="3"/>
      <c r="S535" s="3"/>
      <c r="T535" s="3"/>
      <c r="U535" s="3"/>
    </row>
    <row r="536">
      <c r="A536" s="3"/>
      <c r="B536" s="3"/>
      <c r="C536" s="3"/>
      <c r="D536" s="3"/>
      <c r="E536" s="4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4"/>
      <c r="R536" s="3"/>
      <c r="S536" s="3"/>
      <c r="T536" s="3"/>
      <c r="U536" s="3"/>
    </row>
    <row r="537">
      <c r="A537" s="3"/>
      <c r="B537" s="3"/>
      <c r="C537" s="3"/>
      <c r="D537" s="3"/>
      <c r="E537" s="4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4"/>
      <c r="R537" s="3"/>
      <c r="S537" s="3"/>
      <c r="T537" s="3"/>
      <c r="U537" s="3"/>
    </row>
    <row r="538">
      <c r="A538" s="3"/>
      <c r="B538" s="3"/>
      <c r="C538" s="3"/>
      <c r="D538" s="3"/>
      <c r="E538" s="4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4"/>
      <c r="R538" s="3"/>
      <c r="S538" s="3"/>
      <c r="T538" s="3"/>
      <c r="U538" s="3"/>
    </row>
    <row r="539">
      <c r="A539" s="3"/>
      <c r="B539" s="3"/>
      <c r="C539" s="3"/>
      <c r="D539" s="3"/>
      <c r="E539" s="4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4"/>
      <c r="R539" s="3"/>
      <c r="S539" s="3"/>
      <c r="T539" s="3"/>
      <c r="U539" s="3"/>
    </row>
    <row r="540">
      <c r="A540" s="3"/>
      <c r="B540" s="3"/>
      <c r="C540" s="3"/>
      <c r="D540" s="3"/>
      <c r="E540" s="4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4"/>
      <c r="R540" s="3"/>
      <c r="S540" s="3"/>
      <c r="T540" s="3"/>
      <c r="U540" s="3"/>
    </row>
    <row r="541">
      <c r="A541" s="3"/>
      <c r="B541" s="3"/>
      <c r="C541" s="3"/>
      <c r="D541" s="3"/>
      <c r="E541" s="4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4"/>
      <c r="R541" s="3"/>
      <c r="S541" s="3"/>
      <c r="T541" s="3"/>
      <c r="U541" s="3"/>
    </row>
    <row r="542">
      <c r="A542" s="3"/>
      <c r="B542" s="3"/>
      <c r="C542" s="3"/>
      <c r="D542" s="3"/>
      <c r="E542" s="4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4"/>
      <c r="R542" s="3"/>
      <c r="S542" s="3"/>
      <c r="T542" s="3"/>
      <c r="U542" s="3"/>
    </row>
    <row r="543">
      <c r="A543" s="3"/>
      <c r="B543" s="3"/>
      <c r="C543" s="3"/>
      <c r="D543" s="3"/>
      <c r="E543" s="4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4"/>
      <c r="R543" s="3"/>
      <c r="S543" s="3"/>
      <c r="T543" s="3"/>
      <c r="U543" s="3"/>
    </row>
    <row r="544">
      <c r="A544" s="3"/>
      <c r="B544" s="3"/>
      <c r="C544" s="3"/>
      <c r="D544" s="3"/>
      <c r="E544" s="4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4"/>
      <c r="R544" s="3"/>
      <c r="S544" s="3"/>
      <c r="T544" s="3"/>
      <c r="U544" s="3"/>
    </row>
    <row r="545">
      <c r="A545" s="3"/>
      <c r="B545" s="3"/>
      <c r="C545" s="3"/>
      <c r="D545" s="3"/>
      <c r="E545" s="4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4"/>
      <c r="R545" s="3"/>
      <c r="S545" s="3"/>
      <c r="T545" s="3"/>
      <c r="U545" s="3"/>
    </row>
    <row r="546">
      <c r="A546" s="3"/>
      <c r="B546" s="3"/>
      <c r="C546" s="3"/>
      <c r="D546" s="3"/>
      <c r="E546" s="4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4"/>
      <c r="R546" s="3"/>
      <c r="S546" s="3"/>
      <c r="T546" s="3"/>
      <c r="U546" s="3"/>
    </row>
    <row r="547">
      <c r="A547" s="3"/>
      <c r="B547" s="3"/>
      <c r="C547" s="3"/>
      <c r="D547" s="3"/>
      <c r="E547" s="4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4"/>
      <c r="R547" s="3"/>
      <c r="S547" s="3"/>
      <c r="T547" s="3"/>
      <c r="U547" s="3"/>
    </row>
    <row r="548">
      <c r="A548" s="3"/>
      <c r="B548" s="3"/>
      <c r="C548" s="3"/>
      <c r="D548" s="3"/>
      <c r="E548" s="4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4"/>
      <c r="R548" s="3"/>
      <c r="S548" s="3"/>
      <c r="T548" s="3"/>
      <c r="U548" s="3"/>
    </row>
    <row r="549">
      <c r="A549" s="3"/>
      <c r="B549" s="3"/>
      <c r="C549" s="3"/>
      <c r="D549" s="3"/>
      <c r="E549" s="4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4"/>
      <c r="R549" s="3"/>
      <c r="S549" s="3"/>
      <c r="T549" s="3"/>
      <c r="U549" s="3"/>
    </row>
    <row r="550">
      <c r="A550" s="3"/>
      <c r="B550" s="3"/>
      <c r="C550" s="3"/>
      <c r="D550" s="3"/>
      <c r="E550" s="4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4"/>
      <c r="R550" s="3"/>
      <c r="S550" s="3"/>
      <c r="T550" s="3"/>
      <c r="U550" s="3"/>
    </row>
    <row r="551">
      <c r="A551" s="3"/>
      <c r="B551" s="3"/>
      <c r="C551" s="3"/>
      <c r="D551" s="3"/>
      <c r="E551" s="4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4"/>
      <c r="R551" s="3"/>
      <c r="S551" s="3"/>
      <c r="T551" s="3"/>
      <c r="U551" s="3"/>
    </row>
    <row r="552">
      <c r="A552" s="3"/>
      <c r="B552" s="3"/>
      <c r="C552" s="3"/>
      <c r="D552" s="3"/>
      <c r="E552" s="4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4"/>
      <c r="R552" s="3"/>
      <c r="S552" s="3"/>
      <c r="T552" s="3"/>
      <c r="U552" s="3"/>
    </row>
    <row r="553">
      <c r="A553" s="3"/>
      <c r="B553" s="3"/>
      <c r="C553" s="3"/>
      <c r="D553" s="3"/>
      <c r="E553" s="4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4"/>
      <c r="R553" s="3"/>
      <c r="S553" s="3"/>
      <c r="T553" s="3"/>
      <c r="U553" s="3"/>
    </row>
    <row r="554">
      <c r="A554" s="3"/>
      <c r="B554" s="3"/>
      <c r="C554" s="3"/>
      <c r="D554" s="3"/>
      <c r="E554" s="4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4"/>
      <c r="R554" s="3"/>
      <c r="S554" s="3"/>
      <c r="T554" s="3"/>
      <c r="U554" s="3"/>
    </row>
    <row r="555">
      <c r="A555" s="3"/>
      <c r="B555" s="3"/>
      <c r="C555" s="3"/>
      <c r="D555" s="3"/>
      <c r="E555" s="4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4"/>
      <c r="R555" s="3"/>
      <c r="S555" s="3"/>
      <c r="T555" s="3"/>
      <c r="U555" s="3"/>
    </row>
    <row r="556">
      <c r="A556" s="3"/>
      <c r="B556" s="3"/>
      <c r="C556" s="3"/>
      <c r="D556" s="3"/>
      <c r="E556" s="4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4"/>
      <c r="R556" s="3"/>
      <c r="S556" s="3"/>
      <c r="T556" s="3"/>
      <c r="U556" s="3"/>
    </row>
    <row r="557">
      <c r="A557" s="3"/>
      <c r="B557" s="3"/>
      <c r="C557" s="3"/>
      <c r="D557" s="3"/>
      <c r="E557" s="4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4"/>
      <c r="R557" s="3"/>
      <c r="S557" s="3"/>
      <c r="T557" s="3"/>
      <c r="U557" s="3"/>
    </row>
    <row r="558">
      <c r="A558" s="3"/>
      <c r="B558" s="3"/>
      <c r="C558" s="3"/>
      <c r="D558" s="3"/>
      <c r="E558" s="4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4"/>
      <c r="R558" s="3"/>
      <c r="S558" s="3"/>
      <c r="T558" s="3"/>
      <c r="U558" s="3"/>
    </row>
    <row r="559">
      <c r="A559" s="3"/>
      <c r="B559" s="3"/>
      <c r="C559" s="3"/>
      <c r="D559" s="3"/>
      <c r="E559" s="4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4"/>
      <c r="R559" s="3"/>
      <c r="S559" s="3"/>
      <c r="T559" s="3"/>
      <c r="U559" s="3"/>
    </row>
    <row r="560">
      <c r="A560" s="3"/>
      <c r="B560" s="3"/>
      <c r="C560" s="3"/>
      <c r="D560" s="3"/>
      <c r="E560" s="4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4"/>
      <c r="R560" s="3"/>
      <c r="S560" s="3"/>
      <c r="T560" s="3"/>
      <c r="U560" s="3"/>
    </row>
    <row r="561">
      <c r="A561" s="3"/>
      <c r="B561" s="3"/>
      <c r="C561" s="3"/>
      <c r="D561" s="3"/>
      <c r="E561" s="4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4"/>
      <c r="R561" s="3"/>
      <c r="S561" s="3"/>
      <c r="T561" s="3"/>
      <c r="U561" s="3"/>
    </row>
    <row r="562">
      <c r="A562" s="3"/>
      <c r="B562" s="3"/>
      <c r="C562" s="3"/>
      <c r="D562" s="3"/>
      <c r="E562" s="4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4"/>
      <c r="R562" s="3"/>
      <c r="S562" s="3"/>
      <c r="T562" s="3"/>
      <c r="U562" s="3"/>
    </row>
    <row r="563">
      <c r="A563" s="3"/>
      <c r="B563" s="3"/>
      <c r="C563" s="3"/>
      <c r="D563" s="3"/>
      <c r="E563" s="4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4"/>
      <c r="R563" s="3"/>
      <c r="S563" s="3"/>
      <c r="T563" s="3"/>
      <c r="U563" s="3"/>
    </row>
    <row r="564">
      <c r="A564" s="3"/>
      <c r="B564" s="3"/>
      <c r="C564" s="3"/>
      <c r="D564" s="3"/>
      <c r="E564" s="4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4"/>
      <c r="R564" s="3"/>
      <c r="S564" s="3"/>
      <c r="T564" s="3"/>
      <c r="U564" s="3"/>
    </row>
    <row r="565">
      <c r="A565" s="3"/>
      <c r="B565" s="3"/>
      <c r="C565" s="3"/>
      <c r="D565" s="3"/>
      <c r="E565" s="4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4"/>
      <c r="R565" s="3"/>
      <c r="S565" s="3"/>
      <c r="T565" s="3"/>
      <c r="U565" s="3"/>
    </row>
    <row r="566">
      <c r="A566" s="3"/>
      <c r="B566" s="3"/>
      <c r="C566" s="3"/>
      <c r="D566" s="3"/>
      <c r="E566" s="4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4"/>
      <c r="R566" s="3"/>
      <c r="S566" s="3"/>
      <c r="T566" s="3"/>
      <c r="U566" s="3"/>
    </row>
    <row r="567">
      <c r="A567" s="3"/>
      <c r="B567" s="3"/>
      <c r="C567" s="3"/>
      <c r="D567" s="3"/>
      <c r="E567" s="4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4"/>
      <c r="R567" s="3"/>
      <c r="S567" s="3"/>
      <c r="T567" s="3"/>
      <c r="U567" s="3"/>
    </row>
    <row r="568">
      <c r="A568" s="3"/>
      <c r="B568" s="3"/>
      <c r="C568" s="3"/>
      <c r="D568" s="3"/>
      <c r="E568" s="4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4"/>
      <c r="R568" s="3"/>
      <c r="S568" s="3"/>
      <c r="T568" s="3"/>
      <c r="U568" s="3"/>
    </row>
    <row r="569">
      <c r="A569" s="3"/>
      <c r="B569" s="3"/>
      <c r="C569" s="3"/>
      <c r="D569" s="3"/>
      <c r="E569" s="4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4"/>
      <c r="R569" s="3"/>
      <c r="S569" s="3"/>
      <c r="T569" s="3"/>
      <c r="U569" s="3"/>
    </row>
    <row r="570">
      <c r="A570" s="3"/>
      <c r="B570" s="3"/>
      <c r="C570" s="3"/>
      <c r="D570" s="3"/>
      <c r="E570" s="4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4"/>
      <c r="R570" s="3"/>
      <c r="S570" s="3"/>
      <c r="T570" s="3"/>
      <c r="U570" s="3"/>
    </row>
    <row r="571">
      <c r="A571" s="3"/>
      <c r="B571" s="3"/>
      <c r="C571" s="3"/>
      <c r="D571" s="3"/>
      <c r="E571" s="4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4"/>
      <c r="R571" s="3"/>
      <c r="S571" s="3"/>
      <c r="T571" s="3"/>
      <c r="U571" s="3"/>
    </row>
    <row r="572">
      <c r="A572" s="3"/>
      <c r="B572" s="3"/>
      <c r="C572" s="3"/>
      <c r="D572" s="3"/>
      <c r="E572" s="4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4"/>
      <c r="R572" s="3"/>
      <c r="S572" s="3"/>
      <c r="T572" s="3"/>
      <c r="U572" s="3"/>
    </row>
    <row r="573">
      <c r="A573" s="3"/>
      <c r="B573" s="3"/>
      <c r="C573" s="3"/>
      <c r="D573" s="3"/>
      <c r="E573" s="4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4"/>
      <c r="R573" s="3"/>
      <c r="S573" s="3"/>
      <c r="T573" s="3"/>
      <c r="U573" s="3"/>
    </row>
    <row r="574">
      <c r="A574" s="3"/>
      <c r="B574" s="3"/>
      <c r="C574" s="3"/>
      <c r="D574" s="3"/>
      <c r="E574" s="4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4"/>
      <c r="R574" s="3"/>
      <c r="S574" s="3"/>
      <c r="T574" s="3"/>
      <c r="U574" s="3"/>
    </row>
    <row r="575">
      <c r="A575" s="3"/>
      <c r="B575" s="3"/>
      <c r="C575" s="3"/>
      <c r="D575" s="3"/>
      <c r="E575" s="4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4"/>
      <c r="R575" s="3"/>
      <c r="S575" s="3"/>
      <c r="T575" s="3"/>
      <c r="U575" s="3"/>
    </row>
    <row r="576">
      <c r="A576" s="3"/>
      <c r="B576" s="3"/>
      <c r="C576" s="3"/>
      <c r="D576" s="3"/>
      <c r="E576" s="4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4"/>
      <c r="R576" s="3"/>
      <c r="S576" s="3"/>
      <c r="T576" s="3"/>
      <c r="U576" s="3"/>
    </row>
    <row r="577">
      <c r="A577" s="3"/>
      <c r="B577" s="3"/>
      <c r="C577" s="3"/>
      <c r="D577" s="3"/>
      <c r="E577" s="4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4"/>
      <c r="R577" s="3"/>
      <c r="S577" s="3"/>
      <c r="T577" s="3"/>
      <c r="U577" s="3"/>
    </row>
    <row r="578">
      <c r="A578" s="3"/>
      <c r="B578" s="3"/>
      <c r="C578" s="3"/>
      <c r="D578" s="3"/>
      <c r="E578" s="4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4"/>
      <c r="R578" s="3"/>
      <c r="S578" s="3"/>
      <c r="T578" s="3"/>
      <c r="U578" s="3"/>
    </row>
    <row r="579">
      <c r="A579" s="3"/>
      <c r="B579" s="3"/>
      <c r="C579" s="3"/>
      <c r="D579" s="3"/>
      <c r="E579" s="4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4"/>
      <c r="R579" s="3"/>
      <c r="S579" s="3"/>
      <c r="T579" s="3"/>
      <c r="U579" s="3"/>
    </row>
    <row r="580">
      <c r="A580" s="3"/>
      <c r="B580" s="3"/>
      <c r="C580" s="3"/>
      <c r="D580" s="3"/>
      <c r="E580" s="4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4"/>
      <c r="R580" s="3"/>
      <c r="S580" s="3"/>
      <c r="T580" s="3"/>
      <c r="U580" s="3"/>
    </row>
    <row r="581">
      <c r="A581" s="3"/>
      <c r="B581" s="3"/>
      <c r="C581" s="3"/>
      <c r="D581" s="3"/>
      <c r="E581" s="4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4"/>
      <c r="R581" s="3"/>
      <c r="S581" s="3"/>
      <c r="T581" s="3"/>
      <c r="U581" s="3"/>
    </row>
    <row r="582">
      <c r="A582" s="3"/>
      <c r="B582" s="3"/>
      <c r="C582" s="3"/>
      <c r="D582" s="3"/>
      <c r="E582" s="4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4"/>
      <c r="R582" s="3"/>
      <c r="S582" s="3"/>
      <c r="T582" s="3"/>
      <c r="U582" s="3"/>
    </row>
    <row r="583">
      <c r="A583" s="3"/>
      <c r="B583" s="3"/>
      <c r="C583" s="3"/>
      <c r="D583" s="3"/>
      <c r="E583" s="4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4"/>
      <c r="R583" s="3"/>
      <c r="S583" s="3"/>
      <c r="T583" s="3"/>
      <c r="U583" s="3"/>
    </row>
    <row r="584">
      <c r="A584" s="3"/>
      <c r="B584" s="3"/>
      <c r="C584" s="3"/>
      <c r="D584" s="3"/>
      <c r="E584" s="4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4"/>
      <c r="R584" s="3"/>
      <c r="S584" s="3"/>
      <c r="T584" s="3"/>
      <c r="U584" s="3"/>
    </row>
    <row r="585">
      <c r="A585" s="3"/>
      <c r="B585" s="3"/>
      <c r="C585" s="3"/>
      <c r="D585" s="3"/>
      <c r="E585" s="4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4"/>
      <c r="R585" s="3"/>
      <c r="S585" s="3"/>
      <c r="T585" s="3"/>
      <c r="U585" s="3"/>
    </row>
    <row r="586">
      <c r="A586" s="3"/>
      <c r="B586" s="3"/>
      <c r="C586" s="3"/>
      <c r="D586" s="3"/>
      <c r="E586" s="4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4"/>
      <c r="R586" s="3"/>
      <c r="S586" s="3"/>
      <c r="T586" s="3"/>
      <c r="U586" s="3"/>
    </row>
    <row r="587">
      <c r="A587" s="3"/>
      <c r="B587" s="3"/>
      <c r="C587" s="3"/>
      <c r="D587" s="3"/>
      <c r="E587" s="4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4"/>
      <c r="R587" s="3"/>
      <c r="S587" s="3"/>
      <c r="T587" s="3"/>
      <c r="U587" s="3"/>
    </row>
    <row r="588">
      <c r="A588" s="3"/>
      <c r="B588" s="3"/>
      <c r="C588" s="3"/>
      <c r="D588" s="3"/>
      <c r="E588" s="4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4"/>
      <c r="R588" s="3"/>
      <c r="S588" s="3"/>
      <c r="T588" s="3"/>
      <c r="U588" s="3"/>
    </row>
    <row r="589">
      <c r="A589" s="3"/>
      <c r="B589" s="3"/>
      <c r="C589" s="3"/>
      <c r="D589" s="3"/>
      <c r="E589" s="4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4"/>
      <c r="R589" s="3"/>
      <c r="S589" s="3"/>
      <c r="T589" s="3"/>
      <c r="U589" s="3"/>
    </row>
    <row r="590">
      <c r="A590" s="3"/>
      <c r="B590" s="3"/>
      <c r="C590" s="3"/>
      <c r="D590" s="3"/>
      <c r="E590" s="4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4"/>
      <c r="R590" s="3"/>
      <c r="S590" s="3"/>
      <c r="T590" s="3"/>
      <c r="U590" s="3"/>
    </row>
    <row r="591">
      <c r="A591" s="3"/>
      <c r="B591" s="3"/>
      <c r="C591" s="3"/>
      <c r="D591" s="3"/>
      <c r="E591" s="4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4"/>
      <c r="R591" s="3"/>
      <c r="S591" s="3"/>
      <c r="T591" s="3"/>
      <c r="U591" s="3"/>
    </row>
    <row r="592">
      <c r="A592" s="3"/>
      <c r="B592" s="3"/>
      <c r="C592" s="3"/>
      <c r="D592" s="3"/>
      <c r="E592" s="4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4"/>
      <c r="R592" s="3"/>
      <c r="S592" s="3"/>
      <c r="T592" s="3"/>
      <c r="U592" s="3"/>
    </row>
    <row r="593">
      <c r="A593" s="3"/>
      <c r="B593" s="3"/>
      <c r="C593" s="3"/>
      <c r="D593" s="3"/>
      <c r="E593" s="4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4"/>
      <c r="R593" s="3"/>
      <c r="S593" s="3"/>
      <c r="T593" s="3"/>
      <c r="U593" s="3"/>
    </row>
    <row r="594">
      <c r="A594" s="3"/>
      <c r="B594" s="3"/>
      <c r="C594" s="3"/>
      <c r="D594" s="3"/>
      <c r="E594" s="4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4"/>
      <c r="R594" s="3"/>
      <c r="S594" s="3"/>
      <c r="T594" s="3"/>
      <c r="U594" s="3"/>
    </row>
    <row r="595">
      <c r="A595" s="3"/>
      <c r="B595" s="3"/>
      <c r="C595" s="3"/>
      <c r="D595" s="3"/>
      <c r="E595" s="4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4"/>
      <c r="R595" s="3"/>
      <c r="S595" s="3"/>
      <c r="T595" s="3"/>
      <c r="U595" s="3"/>
    </row>
    <row r="596">
      <c r="A596" s="3"/>
      <c r="B596" s="3"/>
      <c r="C596" s="3"/>
      <c r="D596" s="3"/>
      <c r="E596" s="4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4"/>
      <c r="R596" s="3"/>
      <c r="S596" s="3"/>
      <c r="T596" s="3"/>
      <c r="U596" s="3"/>
    </row>
    <row r="597">
      <c r="A597" s="3"/>
      <c r="B597" s="3"/>
      <c r="C597" s="3"/>
      <c r="D597" s="3"/>
      <c r="E597" s="4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4"/>
      <c r="R597" s="3"/>
      <c r="S597" s="3"/>
      <c r="T597" s="3"/>
      <c r="U597" s="3"/>
    </row>
    <row r="598">
      <c r="A598" s="3"/>
      <c r="B598" s="3"/>
      <c r="C598" s="3"/>
      <c r="D598" s="3"/>
      <c r="E598" s="4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4"/>
      <c r="R598" s="3"/>
      <c r="S598" s="3"/>
      <c r="T598" s="3"/>
      <c r="U598" s="3"/>
    </row>
    <row r="599">
      <c r="A599" s="3"/>
      <c r="B599" s="3"/>
      <c r="C599" s="3"/>
      <c r="D599" s="3"/>
      <c r="E599" s="4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4"/>
      <c r="R599" s="3"/>
      <c r="S599" s="3"/>
      <c r="T599" s="3"/>
      <c r="U599" s="3"/>
    </row>
    <row r="600">
      <c r="A600" s="3"/>
      <c r="B600" s="3"/>
      <c r="C600" s="3"/>
      <c r="D600" s="3"/>
      <c r="E600" s="4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4"/>
      <c r="R600" s="3"/>
      <c r="S600" s="3"/>
      <c r="T600" s="3"/>
      <c r="U600" s="3"/>
    </row>
    <row r="601">
      <c r="A601" s="3"/>
      <c r="B601" s="3"/>
      <c r="C601" s="3"/>
      <c r="D601" s="3"/>
      <c r="E601" s="4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4"/>
      <c r="R601" s="3"/>
      <c r="S601" s="3"/>
      <c r="T601" s="3"/>
      <c r="U601" s="3"/>
    </row>
    <row r="602">
      <c r="A602" s="3"/>
      <c r="B602" s="3"/>
      <c r="C602" s="3"/>
      <c r="D602" s="3"/>
      <c r="E602" s="4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4"/>
      <c r="R602" s="3"/>
      <c r="S602" s="3"/>
      <c r="T602" s="3"/>
      <c r="U602" s="3"/>
    </row>
    <row r="603">
      <c r="A603" s="3"/>
      <c r="B603" s="3"/>
      <c r="C603" s="3"/>
      <c r="D603" s="3"/>
      <c r="E603" s="4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4"/>
      <c r="R603" s="3"/>
      <c r="S603" s="3"/>
      <c r="T603" s="3"/>
      <c r="U603" s="3"/>
    </row>
    <row r="604">
      <c r="A604" s="3"/>
      <c r="B604" s="3"/>
      <c r="C604" s="3"/>
      <c r="D604" s="3"/>
      <c r="E604" s="4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4"/>
      <c r="R604" s="3"/>
      <c r="S604" s="3"/>
      <c r="T604" s="3"/>
      <c r="U604" s="3"/>
    </row>
    <row r="605">
      <c r="A605" s="3"/>
      <c r="B605" s="3"/>
      <c r="C605" s="3"/>
      <c r="D605" s="3"/>
      <c r="E605" s="4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4"/>
      <c r="R605" s="3"/>
      <c r="S605" s="3"/>
      <c r="T605" s="3"/>
      <c r="U605" s="3"/>
    </row>
    <row r="606">
      <c r="A606" s="3"/>
      <c r="B606" s="3"/>
      <c r="C606" s="3"/>
      <c r="D606" s="3"/>
      <c r="E606" s="4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4"/>
      <c r="R606" s="3"/>
      <c r="S606" s="3"/>
      <c r="T606" s="3"/>
      <c r="U606" s="3"/>
    </row>
    <row r="607">
      <c r="A607" s="3"/>
      <c r="B607" s="3"/>
      <c r="C607" s="3"/>
      <c r="D607" s="3"/>
      <c r="E607" s="4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4"/>
      <c r="R607" s="3"/>
      <c r="S607" s="3"/>
      <c r="T607" s="3"/>
      <c r="U607" s="3"/>
    </row>
    <row r="608">
      <c r="A608" s="3"/>
      <c r="B608" s="3"/>
      <c r="C608" s="3"/>
      <c r="D608" s="3"/>
      <c r="E608" s="4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4"/>
      <c r="R608" s="3"/>
      <c r="S608" s="3"/>
      <c r="T608" s="3"/>
      <c r="U608" s="3"/>
    </row>
    <row r="609">
      <c r="A609" s="3"/>
      <c r="B609" s="3"/>
      <c r="C609" s="3"/>
      <c r="D609" s="3"/>
      <c r="E609" s="4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4"/>
      <c r="R609" s="3"/>
      <c r="S609" s="3"/>
      <c r="T609" s="3"/>
      <c r="U609" s="3"/>
    </row>
    <row r="610">
      <c r="A610" s="3"/>
      <c r="B610" s="3"/>
      <c r="C610" s="3"/>
      <c r="D610" s="3"/>
      <c r="E610" s="4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4"/>
      <c r="R610" s="3"/>
      <c r="S610" s="3"/>
      <c r="T610" s="3"/>
      <c r="U610" s="3"/>
    </row>
    <row r="611">
      <c r="A611" s="3"/>
      <c r="B611" s="3"/>
      <c r="C611" s="3"/>
      <c r="D611" s="3"/>
      <c r="E611" s="4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4"/>
      <c r="R611" s="3"/>
      <c r="S611" s="3"/>
      <c r="T611" s="3"/>
      <c r="U611" s="3"/>
    </row>
    <row r="612">
      <c r="A612" s="3"/>
      <c r="B612" s="3"/>
      <c r="C612" s="3"/>
      <c r="D612" s="3"/>
      <c r="E612" s="4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4"/>
      <c r="R612" s="3"/>
      <c r="S612" s="3"/>
      <c r="T612" s="3"/>
      <c r="U612" s="3"/>
    </row>
    <row r="613">
      <c r="A613" s="3"/>
      <c r="B613" s="3"/>
      <c r="C613" s="3"/>
      <c r="D613" s="3"/>
      <c r="E613" s="4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4"/>
      <c r="R613" s="3"/>
      <c r="S613" s="3"/>
      <c r="T613" s="3"/>
      <c r="U613" s="3"/>
    </row>
    <row r="614">
      <c r="A614" s="3"/>
      <c r="B614" s="3"/>
      <c r="C614" s="3"/>
      <c r="D614" s="3"/>
      <c r="E614" s="4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4"/>
      <c r="R614" s="3"/>
      <c r="S614" s="3"/>
      <c r="T614" s="3"/>
      <c r="U614" s="3"/>
    </row>
    <row r="615">
      <c r="A615" s="3"/>
      <c r="B615" s="3"/>
      <c r="C615" s="3"/>
      <c r="D615" s="3"/>
      <c r="E615" s="4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4"/>
      <c r="R615" s="3"/>
      <c r="S615" s="3"/>
      <c r="T615" s="3"/>
      <c r="U615" s="3"/>
    </row>
    <row r="616">
      <c r="A616" s="3"/>
      <c r="B616" s="3"/>
      <c r="C616" s="3"/>
      <c r="D616" s="3"/>
      <c r="E616" s="4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4"/>
      <c r="R616" s="3"/>
      <c r="S616" s="3"/>
      <c r="T616" s="3"/>
      <c r="U616" s="3"/>
    </row>
    <row r="617">
      <c r="A617" s="3"/>
      <c r="B617" s="3"/>
      <c r="C617" s="3"/>
      <c r="D617" s="3"/>
      <c r="E617" s="4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4"/>
      <c r="R617" s="3"/>
      <c r="S617" s="3"/>
      <c r="T617" s="3"/>
      <c r="U617" s="3"/>
    </row>
    <row r="618">
      <c r="A618" s="3"/>
      <c r="B618" s="3"/>
      <c r="C618" s="3"/>
      <c r="D618" s="3"/>
      <c r="E618" s="4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4"/>
      <c r="R618" s="3"/>
      <c r="S618" s="3"/>
      <c r="T618" s="3"/>
      <c r="U618" s="3"/>
    </row>
    <row r="619">
      <c r="A619" s="3"/>
      <c r="B619" s="3"/>
      <c r="C619" s="3"/>
      <c r="D619" s="3"/>
      <c r="E619" s="4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4"/>
      <c r="R619" s="3"/>
      <c r="S619" s="3"/>
      <c r="T619" s="3"/>
      <c r="U619" s="3"/>
    </row>
    <row r="620">
      <c r="A620" s="3"/>
      <c r="B620" s="3"/>
      <c r="C620" s="3"/>
      <c r="D620" s="3"/>
      <c r="E620" s="4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4"/>
      <c r="R620" s="3"/>
      <c r="S620" s="3"/>
      <c r="T620" s="3"/>
      <c r="U620" s="3"/>
    </row>
    <row r="621">
      <c r="A621" s="3"/>
      <c r="B621" s="3"/>
      <c r="C621" s="3"/>
      <c r="D621" s="3"/>
      <c r="E621" s="4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4"/>
      <c r="R621" s="3"/>
      <c r="S621" s="3"/>
      <c r="T621" s="3"/>
      <c r="U621" s="3"/>
    </row>
    <row r="622">
      <c r="A622" s="3"/>
      <c r="B622" s="3"/>
      <c r="C622" s="3"/>
      <c r="D622" s="3"/>
      <c r="E622" s="4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4"/>
      <c r="R622" s="3"/>
      <c r="S622" s="3"/>
      <c r="T622" s="3"/>
      <c r="U622" s="3"/>
    </row>
    <row r="623">
      <c r="A623" s="3"/>
      <c r="B623" s="3"/>
      <c r="C623" s="3"/>
      <c r="D623" s="3"/>
      <c r="E623" s="4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4"/>
      <c r="R623" s="3"/>
      <c r="S623" s="3"/>
      <c r="T623" s="3"/>
      <c r="U623" s="3"/>
    </row>
    <row r="624">
      <c r="A624" s="3"/>
      <c r="B624" s="3"/>
      <c r="C624" s="3"/>
      <c r="D624" s="3"/>
      <c r="E624" s="4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4"/>
      <c r="R624" s="3"/>
      <c r="S624" s="3"/>
      <c r="T624" s="3"/>
      <c r="U624" s="3"/>
    </row>
    <row r="625">
      <c r="A625" s="3"/>
      <c r="B625" s="3"/>
      <c r="C625" s="3"/>
      <c r="D625" s="3"/>
      <c r="E625" s="4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4"/>
      <c r="R625" s="3"/>
      <c r="S625" s="3"/>
      <c r="T625" s="3"/>
      <c r="U625" s="3"/>
    </row>
    <row r="626">
      <c r="A626" s="3"/>
      <c r="B626" s="3"/>
      <c r="C626" s="3"/>
      <c r="D626" s="3"/>
      <c r="E626" s="4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4"/>
      <c r="R626" s="3"/>
      <c r="S626" s="3"/>
      <c r="T626" s="3"/>
      <c r="U626" s="3"/>
    </row>
    <row r="627">
      <c r="A627" s="3"/>
      <c r="B627" s="3"/>
      <c r="C627" s="3"/>
      <c r="D627" s="3"/>
      <c r="E627" s="4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4"/>
      <c r="R627" s="3"/>
      <c r="S627" s="3"/>
      <c r="T627" s="3"/>
      <c r="U627" s="3"/>
    </row>
    <row r="628">
      <c r="A628" s="3"/>
      <c r="B628" s="3"/>
      <c r="C628" s="3"/>
      <c r="D628" s="3"/>
      <c r="E628" s="4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4"/>
      <c r="R628" s="3"/>
      <c r="S628" s="3"/>
      <c r="T628" s="3"/>
      <c r="U628" s="3"/>
    </row>
    <row r="629">
      <c r="A629" s="3"/>
      <c r="B629" s="3"/>
      <c r="C629" s="3"/>
      <c r="D629" s="3"/>
      <c r="E629" s="4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4"/>
      <c r="R629" s="3"/>
      <c r="S629" s="3"/>
      <c r="T629" s="3"/>
      <c r="U629" s="3"/>
    </row>
    <row r="630">
      <c r="A630" s="3"/>
      <c r="B630" s="3"/>
      <c r="C630" s="3"/>
      <c r="D630" s="3"/>
      <c r="E630" s="4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4"/>
      <c r="R630" s="3"/>
      <c r="S630" s="3"/>
      <c r="T630" s="3"/>
      <c r="U630" s="3"/>
    </row>
    <row r="631">
      <c r="A631" s="3"/>
      <c r="B631" s="3"/>
      <c r="C631" s="3"/>
      <c r="D631" s="3"/>
      <c r="E631" s="4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4"/>
      <c r="R631" s="3"/>
      <c r="S631" s="3"/>
      <c r="T631" s="3"/>
      <c r="U631" s="3"/>
    </row>
    <row r="632">
      <c r="A632" s="3"/>
      <c r="B632" s="3"/>
      <c r="C632" s="3"/>
      <c r="D632" s="3"/>
      <c r="E632" s="4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4"/>
      <c r="R632" s="3"/>
      <c r="S632" s="3"/>
      <c r="T632" s="3"/>
      <c r="U632" s="3"/>
    </row>
    <row r="633">
      <c r="A633" s="3"/>
      <c r="B633" s="3"/>
      <c r="C633" s="3"/>
      <c r="D633" s="3"/>
      <c r="E633" s="4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4"/>
      <c r="R633" s="3"/>
      <c r="S633" s="3"/>
      <c r="T633" s="3"/>
      <c r="U633" s="3"/>
    </row>
    <row r="634">
      <c r="A634" s="3"/>
      <c r="B634" s="3"/>
      <c r="C634" s="3"/>
      <c r="D634" s="3"/>
      <c r="E634" s="4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4"/>
      <c r="R634" s="3"/>
      <c r="S634" s="3"/>
      <c r="T634" s="3"/>
      <c r="U634" s="3"/>
    </row>
    <row r="635">
      <c r="A635" s="3"/>
      <c r="B635" s="3"/>
      <c r="C635" s="3"/>
      <c r="D635" s="3"/>
      <c r="E635" s="4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4"/>
      <c r="R635" s="3"/>
      <c r="S635" s="3"/>
      <c r="T635" s="3"/>
      <c r="U635" s="3"/>
    </row>
    <row r="636">
      <c r="A636" s="3"/>
      <c r="B636" s="3"/>
      <c r="C636" s="3"/>
      <c r="D636" s="3"/>
      <c r="E636" s="4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4"/>
      <c r="R636" s="3"/>
      <c r="S636" s="3"/>
      <c r="T636" s="3"/>
      <c r="U636" s="3"/>
    </row>
    <row r="637">
      <c r="A637" s="3"/>
      <c r="B637" s="3"/>
      <c r="C637" s="3"/>
      <c r="D637" s="3"/>
      <c r="E637" s="4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4"/>
      <c r="R637" s="3"/>
      <c r="S637" s="3"/>
      <c r="T637" s="3"/>
      <c r="U637" s="3"/>
    </row>
    <row r="638">
      <c r="A638" s="3"/>
      <c r="B638" s="3"/>
      <c r="C638" s="3"/>
      <c r="D638" s="3"/>
      <c r="E638" s="4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4"/>
      <c r="R638" s="3"/>
      <c r="S638" s="3"/>
      <c r="T638" s="3"/>
      <c r="U638" s="3"/>
    </row>
    <row r="639">
      <c r="A639" s="3"/>
      <c r="B639" s="3"/>
      <c r="C639" s="3"/>
      <c r="D639" s="3"/>
      <c r="E639" s="4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4"/>
      <c r="R639" s="3"/>
      <c r="S639" s="3"/>
      <c r="T639" s="3"/>
      <c r="U639" s="3"/>
    </row>
    <row r="640">
      <c r="A640" s="3"/>
      <c r="B640" s="3"/>
      <c r="C640" s="3"/>
      <c r="D640" s="3"/>
      <c r="E640" s="4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4"/>
      <c r="R640" s="3"/>
      <c r="S640" s="3"/>
      <c r="T640" s="3"/>
      <c r="U640" s="3"/>
    </row>
    <row r="641">
      <c r="A641" s="3"/>
      <c r="B641" s="3"/>
      <c r="C641" s="3"/>
      <c r="D641" s="3"/>
      <c r="E641" s="4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4"/>
      <c r="R641" s="3"/>
      <c r="S641" s="3"/>
      <c r="T641" s="3"/>
      <c r="U641" s="3"/>
    </row>
    <row r="642">
      <c r="A642" s="3"/>
      <c r="B642" s="3"/>
      <c r="C642" s="3"/>
      <c r="D642" s="3"/>
      <c r="E642" s="4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4"/>
      <c r="R642" s="3"/>
      <c r="S642" s="3"/>
      <c r="T642" s="3"/>
      <c r="U642" s="3"/>
    </row>
    <row r="643">
      <c r="A643" s="3"/>
      <c r="B643" s="3"/>
      <c r="C643" s="3"/>
      <c r="D643" s="3"/>
      <c r="E643" s="4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4"/>
      <c r="R643" s="3"/>
      <c r="S643" s="3"/>
      <c r="T643" s="3"/>
      <c r="U643" s="3"/>
    </row>
    <row r="644">
      <c r="A644" s="3"/>
      <c r="B644" s="3"/>
      <c r="C644" s="3"/>
      <c r="D644" s="3"/>
      <c r="E644" s="4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4"/>
      <c r="R644" s="3"/>
      <c r="S644" s="3"/>
      <c r="T644" s="3"/>
      <c r="U644" s="3"/>
    </row>
    <row r="645">
      <c r="A645" s="3"/>
      <c r="B645" s="3"/>
      <c r="C645" s="3"/>
      <c r="D645" s="3"/>
      <c r="E645" s="4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4"/>
      <c r="R645" s="3"/>
      <c r="S645" s="3"/>
      <c r="T645" s="3"/>
      <c r="U645" s="3"/>
    </row>
    <row r="646">
      <c r="A646" s="3"/>
      <c r="B646" s="3"/>
      <c r="C646" s="3"/>
      <c r="D646" s="3"/>
      <c r="E646" s="4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4"/>
      <c r="R646" s="3"/>
      <c r="S646" s="3"/>
      <c r="T646" s="3"/>
      <c r="U646" s="3"/>
    </row>
    <row r="647">
      <c r="A647" s="3"/>
      <c r="B647" s="3"/>
      <c r="C647" s="3"/>
      <c r="D647" s="3"/>
      <c r="E647" s="4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4"/>
      <c r="R647" s="3"/>
      <c r="S647" s="3"/>
      <c r="T647" s="3"/>
      <c r="U647" s="3"/>
    </row>
    <row r="648">
      <c r="A648" s="3"/>
      <c r="B648" s="3"/>
      <c r="C648" s="3"/>
      <c r="D648" s="3"/>
      <c r="E648" s="4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4"/>
      <c r="R648" s="3"/>
      <c r="S648" s="3"/>
      <c r="T648" s="3"/>
      <c r="U648" s="3"/>
    </row>
    <row r="649">
      <c r="A649" s="3"/>
      <c r="B649" s="3"/>
      <c r="C649" s="3"/>
      <c r="D649" s="3"/>
      <c r="E649" s="4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4"/>
      <c r="R649" s="3"/>
      <c r="S649" s="3"/>
      <c r="T649" s="3"/>
      <c r="U649" s="3"/>
    </row>
    <row r="650">
      <c r="A650" s="3"/>
      <c r="B650" s="3"/>
      <c r="C650" s="3"/>
      <c r="D650" s="3"/>
      <c r="E650" s="4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4"/>
      <c r="R650" s="3"/>
      <c r="S650" s="3"/>
      <c r="T650" s="3"/>
      <c r="U650" s="3"/>
    </row>
    <row r="651">
      <c r="A651" s="3"/>
      <c r="B651" s="3"/>
      <c r="C651" s="3"/>
      <c r="D651" s="3"/>
      <c r="E651" s="4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4"/>
      <c r="R651" s="3"/>
      <c r="S651" s="3"/>
      <c r="T651" s="3"/>
      <c r="U651" s="3"/>
    </row>
    <row r="652">
      <c r="A652" s="3"/>
      <c r="B652" s="3"/>
      <c r="C652" s="3"/>
      <c r="D652" s="3"/>
      <c r="E652" s="4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4"/>
      <c r="R652" s="3"/>
      <c r="S652" s="3"/>
      <c r="T652" s="3"/>
      <c r="U652" s="3"/>
    </row>
    <row r="653">
      <c r="A653" s="3"/>
      <c r="B653" s="3"/>
      <c r="C653" s="3"/>
      <c r="D653" s="3"/>
      <c r="E653" s="4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4"/>
      <c r="R653" s="3"/>
      <c r="S653" s="3"/>
      <c r="T653" s="3"/>
      <c r="U653" s="3"/>
    </row>
    <row r="654">
      <c r="A654" s="3"/>
      <c r="B654" s="3"/>
      <c r="C654" s="3"/>
      <c r="D654" s="3"/>
      <c r="E654" s="4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4"/>
      <c r="R654" s="3"/>
      <c r="S654" s="3"/>
      <c r="T654" s="3"/>
      <c r="U654" s="3"/>
    </row>
    <row r="655">
      <c r="A655" s="3"/>
      <c r="B655" s="3"/>
      <c r="C655" s="3"/>
      <c r="D655" s="3"/>
      <c r="E655" s="4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4"/>
      <c r="R655" s="3"/>
      <c r="S655" s="3"/>
      <c r="T655" s="3"/>
      <c r="U655" s="3"/>
    </row>
    <row r="656">
      <c r="A656" s="3"/>
      <c r="B656" s="3"/>
      <c r="C656" s="3"/>
      <c r="D656" s="3"/>
      <c r="E656" s="4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4"/>
      <c r="R656" s="3"/>
      <c r="S656" s="3"/>
      <c r="T656" s="3"/>
      <c r="U656" s="3"/>
    </row>
    <row r="657">
      <c r="A657" s="3"/>
      <c r="B657" s="3"/>
      <c r="C657" s="3"/>
      <c r="D657" s="3"/>
      <c r="E657" s="4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4"/>
      <c r="R657" s="3"/>
      <c r="S657" s="3"/>
      <c r="T657" s="3"/>
      <c r="U657" s="3"/>
    </row>
    <row r="658">
      <c r="A658" s="3"/>
      <c r="B658" s="3"/>
      <c r="C658" s="3"/>
      <c r="D658" s="3"/>
      <c r="E658" s="4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4"/>
      <c r="R658" s="3"/>
      <c r="S658" s="3"/>
      <c r="T658" s="3"/>
      <c r="U658" s="3"/>
    </row>
    <row r="659">
      <c r="A659" s="3"/>
      <c r="B659" s="3"/>
      <c r="C659" s="3"/>
      <c r="D659" s="3"/>
      <c r="E659" s="4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4"/>
      <c r="R659" s="3"/>
      <c r="S659" s="3"/>
      <c r="T659" s="3"/>
      <c r="U659" s="3"/>
    </row>
    <row r="660">
      <c r="A660" s="3"/>
      <c r="B660" s="3"/>
      <c r="C660" s="3"/>
      <c r="D660" s="3"/>
      <c r="E660" s="4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4"/>
      <c r="R660" s="3"/>
      <c r="S660" s="3"/>
      <c r="T660" s="3"/>
      <c r="U660" s="3"/>
    </row>
    <row r="661">
      <c r="A661" s="3"/>
      <c r="B661" s="3"/>
      <c r="C661" s="3"/>
      <c r="D661" s="3"/>
      <c r="E661" s="4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4"/>
      <c r="R661" s="3"/>
      <c r="S661" s="3"/>
      <c r="T661" s="3"/>
      <c r="U661" s="3"/>
    </row>
    <row r="662">
      <c r="A662" s="3"/>
      <c r="B662" s="3"/>
      <c r="C662" s="3"/>
      <c r="D662" s="3"/>
      <c r="E662" s="4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4"/>
      <c r="R662" s="3"/>
      <c r="S662" s="3"/>
      <c r="T662" s="3"/>
      <c r="U662" s="3"/>
    </row>
    <row r="663">
      <c r="A663" s="3"/>
      <c r="B663" s="3"/>
      <c r="C663" s="3"/>
      <c r="D663" s="3"/>
      <c r="E663" s="4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4"/>
      <c r="R663" s="3"/>
      <c r="S663" s="3"/>
      <c r="T663" s="3"/>
      <c r="U663" s="3"/>
    </row>
    <row r="664">
      <c r="A664" s="3"/>
      <c r="B664" s="3"/>
      <c r="C664" s="3"/>
      <c r="D664" s="3"/>
      <c r="E664" s="4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4"/>
      <c r="R664" s="3"/>
      <c r="S664" s="3"/>
      <c r="T664" s="3"/>
      <c r="U664" s="3"/>
    </row>
    <row r="665">
      <c r="A665" s="3"/>
      <c r="B665" s="3"/>
      <c r="C665" s="3"/>
      <c r="D665" s="3"/>
      <c r="E665" s="4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4"/>
      <c r="R665" s="3"/>
      <c r="S665" s="3"/>
      <c r="T665" s="3"/>
      <c r="U665" s="3"/>
    </row>
    <row r="666">
      <c r="A666" s="3"/>
      <c r="B666" s="3"/>
      <c r="C666" s="3"/>
      <c r="D666" s="3"/>
      <c r="E666" s="4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4"/>
      <c r="R666" s="3"/>
      <c r="S666" s="3"/>
      <c r="T666" s="3"/>
      <c r="U666" s="3"/>
    </row>
    <row r="667">
      <c r="A667" s="3"/>
      <c r="B667" s="3"/>
      <c r="C667" s="3"/>
      <c r="D667" s="3"/>
      <c r="E667" s="4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4"/>
      <c r="R667" s="3"/>
      <c r="S667" s="3"/>
      <c r="T667" s="3"/>
      <c r="U667" s="3"/>
    </row>
    <row r="668">
      <c r="A668" s="3"/>
      <c r="B668" s="3"/>
      <c r="C668" s="3"/>
      <c r="D668" s="3"/>
      <c r="E668" s="4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4"/>
      <c r="R668" s="3"/>
      <c r="S668" s="3"/>
      <c r="T668" s="3"/>
      <c r="U668" s="3"/>
    </row>
    <row r="669">
      <c r="A669" s="3"/>
      <c r="B669" s="3"/>
      <c r="C669" s="3"/>
      <c r="D669" s="3"/>
      <c r="E669" s="4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4"/>
      <c r="R669" s="3"/>
      <c r="S669" s="3"/>
      <c r="T669" s="3"/>
      <c r="U669" s="3"/>
    </row>
    <row r="670">
      <c r="A670" s="3"/>
      <c r="B670" s="3"/>
      <c r="C670" s="3"/>
      <c r="D670" s="3"/>
      <c r="E670" s="4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4"/>
      <c r="R670" s="3"/>
      <c r="S670" s="3"/>
      <c r="T670" s="3"/>
      <c r="U670" s="3"/>
    </row>
    <row r="671">
      <c r="A671" s="3"/>
      <c r="B671" s="3"/>
      <c r="C671" s="3"/>
      <c r="D671" s="3"/>
      <c r="E671" s="4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4"/>
      <c r="R671" s="3"/>
      <c r="S671" s="3"/>
      <c r="T671" s="3"/>
      <c r="U671" s="3"/>
    </row>
    <row r="672">
      <c r="A672" s="3"/>
      <c r="B672" s="3"/>
      <c r="C672" s="3"/>
      <c r="D672" s="3"/>
      <c r="E672" s="4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4"/>
      <c r="R672" s="3"/>
      <c r="S672" s="3"/>
      <c r="T672" s="3"/>
      <c r="U672" s="3"/>
    </row>
    <row r="673">
      <c r="A673" s="3"/>
      <c r="B673" s="3"/>
      <c r="C673" s="3"/>
      <c r="D673" s="3"/>
      <c r="E673" s="4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4"/>
      <c r="R673" s="3"/>
      <c r="S673" s="3"/>
      <c r="T673" s="3"/>
      <c r="U673" s="3"/>
    </row>
    <row r="674">
      <c r="A674" s="3"/>
      <c r="B674" s="3"/>
      <c r="C674" s="3"/>
      <c r="D674" s="3"/>
      <c r="E674" s="4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4"/>
      <c r="R674" s="3"/>
      <c r="S674" s="3"/>
      <c r="T674" s="3"/>
      <c r="U674" s="3"/>
    </row>
    <row r="675">
      <c r="A675" s="3"/>
      <c r="B675" s="3"/>
      <c r="C675" s="3"/>
      <c r="D675" s="3"/>
      <c r="E675" s="4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4"/>
      <c r="R675" s="3"/>
      <c r="S675" s="3"/>
      <c r="T675" s="3"/>
      <c r="U675" s="3"/>
    </row>
    <row r="676">
      <c r="A676" s="3"/>
      <c r="B676" s="3"/>
      <c r="C676" s="3"/>
      <c r="D676" s="3"/>
      <c r="E676" s="4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4"/>
      <c r="R676" s="3"/>
      <c r="S676" s="3"/>
      <c r="T676" s="3"/>
      <c r="U676" s="3"/>
    </row>
    <row r="677">
      <c r="A677" s="3"/>
      <c r="B677" s="3"/>
      <c r="C677" s="3"/>
      <c r="D677" s="3"/>
      <c r="E677" s="4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4"/>
      <c r="R677" s="3"/>
      <c r="S677" s="3"/>
      <c r="T677" s="3"/>
      <c r="U677" s="3"/>
    </row>
    <row r="678">
      <c r="A678" s="3"/>
      <c r="B678" s="3"/>
      <c r="C678" s="3"/>
      <c r="D678" s="3"/>
      <c r="E678" s="4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4"/>
      <c r="R678" s="3"/>
      <c r="S678" s="3"/>
      <c r="T678" s="3"/>
      <c r="U678" s="3"/>
    </row>
    <row r="679">
      <c r="A679" s="3"/>
      <c r="B679" s="3"/>
      <c r="C679" s="3"/>
      <c r="D679" s="3"/>
      <c r="E679" s="4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4"/>
      <c r="R679" s="3"/>
      <c r="S679" s="3"/>
      <c r="T679" s="3"/>
      <c r="U679" s="3"/>
    </row>
    <row r="680">
      <c r="A680" s="3"/>
      <c r="B680" s="3"/>
      <c r="C680" s="3"/>
      <c r="D680" s="3"/>
      <c r="E680" s="4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4"/>
      <c r="R680" s="3"/>
      <c r="S680" s="3"/>
      <c r="T680" s="3"/>
      <c r="U680" s="3"/>
    </row>
    <row r="681">
      <c r="A681" s="3"/>
      <c r="B681" s="3"/>
      <c r="C681" s="3"/>
      <c r="D681" s="3"/>
      <c r="E681" s="4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4"/>
      <c r="R681" s="3"/>
      <c r="S681" s="3"/>
      <c r="T681" s="3"/>
      <c r="U681" s="3"/>
    </row>
    <row r="682">
      <c r="A682" s="3"/>
      <c r="B682" s="3"/>
      <c r="C682" s="3"/>
      <c r="D682" s="3"/>
      <c r="E682" s="4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4"/>
      <c r="R682" s="3"/>
      <c r="S682" s="3"/>
      <c r="T682" s="3"/>
      <c r="U682" s="3"/>
    </row>
    <row r="683">
      <c r="A683" s="3"/>
      <c r="B683" s="3"/>
      <c r="C683" s="3"/>
      <c r="D683" s="3"/>
      <c r="E683" s="4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4"/>
      <c r="R683" s="3"/>
      <c r="S683" s="3"/>
      <c r="T683" s="3"/>
      <c r="U683" s="3"/>
    </row>
    <row r="684">
      <c r="A684" s="3"/>
      <c r="B684" s="3"/>
      <c r="C684" s="3"/>
      <c r="D684" s="3"/>
      <c r="E684" s="4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4"/>
      <c r="R684" s="3"/>
      <c r="S684" s="3"/>
      <c r="T684" s="3"/>
      <c r="U684" s="3"/>
    </row>
    <row r="685">
      <c r="A685" s="3"/>
      <c r="B685" s="3"/>
      <c r="C685" s="3"/>
      <c r="D685" s="3"/>
      <c r="E685" s="4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4"/>
      <c r="R685" s="3"/>
      <c r="S685" s="3"/>
      <c r="T685" s="3"/>
      <c r="U685" s="3"/>
    </row>
    <row r="686">
      <c r="A686" s="3"/>
      <c r="B686" s="3"/>
      <c r="C686" s="3"/>
      <c r="D686" s="3"/>
      <c r="E686" s="4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4"/>
      <c r="R686" s="3"/>
      <c r="S686" s="3"/>
      <c r="T686" s="3"/>
      <c r="U686" s="3"/>
    </row>
    <row r="687">
      <c r="A687" s="3"/>
      <c r="B687" s="3"/>
      <c r="C687" s="3"/>
      <c r="D687" s="3"/>
      <c r="E687" s="4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4"/>
      <c r="R687" s="3"/>
      <c r="S687" s="3"/>
      <c r="T687" s="3"/>
      <c r="U687" s="3"/>
    </row>
    <row r="688">
      <c r="A688" s="3"/>
      <c r="B688" s="3"/>
      <c r="C688" s="3"/>
      <c r="D688" s="3"/>
      <c r="E688" s="4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4"/>
      <c r="R688" s="3"/>
      <c r="S688" s="3"/>
      <c r="T688" s="3"/>
      <c r="U688" s="3"/>
    </row>
    <row r="689">
      <c r="A689" s="3"/>
      <c r="B689" s="3"/>
      <c r="C689" s="3"/>
      <c r="D689" s="3"/>
      <c r="E689" s="4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4"/>
      <c r="R689" s="3"/>
      <c r="S689" s="3"/>
      <c r="T689" s="3"/>
      <c r="U689" s="3"/>
    </row>
    <row r="690">
      <c r="A690" s="3"/>
      <c r="B690" s="3"/>
      <c r="C690" s="3"/>
      <c r="D690" s="3"/>
      <c r="E690" s="4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4"/>
      <c r="R690" s="3"/>
      <c r="S690" s="3"/>
      <c r="T690" s="3"/>
      <c r="U690" s="3"/>
    </row>
    <row r="691">
      <c r="A691" s="3"/>
      <c r="B691" s="3"/>
      <c r="C691" s="3"/>
      <c r="D691" s="3"/>
      <c r="E691" s="4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4"/>
      <c r="R691" s="3"/>
      <c r="S691" s="3"/>
      <c r="T691" s="3"/>
      <c r="U691" s="3"/>
    </row>
    <row r="692">
      <c r="A692" s="3"/>
      <c r="B692" s="3"/>
      <c r="C692" s="3"/>
      <c r="D692" s="3"/>
      <c r="E692" s="4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4"/>
      <c r="R692" s="3"/>
      <c r="S692" s="3"/>
      <c r="T692" s="3"/>
      <c r="U692" s="3"/>
    </row>
    <row r="693">
      <c r="A693" s="3"/>
      <c r="B693" s="3"/>
      <c r="C693" s="3"/>
      <c r="D693" s="3"/>
      <c r="E693" s="4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4"/>
      <c r="R693" s="3"/>
      <c r="S693" s="3"/>
      <c r="T693" s="3"/>
      <c r="U693" s="3"/>
    </row>
    <row r="694">
      <c r="A694" s="3"/>
      <c r="B694" s="3"/>
      <c r="C694" s="3"/>
      <c r="D694" s="3"/>
      <c r="E694" s="4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4"/>
      <c r="R694" s="3"/>
      <c r="S694" s="3"/>
      <c r="T694" s="3"/>
      <c r="U694" s="3"/>
    </row>
    <row r="695">
      <c r="A695" s="3"/>
      <c r="B695" s="3"/>
      <c r="C695" s="3"/>
      <c r="D695" s="3"/>
      <c r="E695" s="4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4"/>
      <c r="R695" s="3"/>
      <c r="S695" s="3"/>
      <c r="T695" s="3"/>
      <c r="U695" s="3"/>
    </row>
    <row r="696">
      <c r="A696" s="3"/>
      <c r="B696" s="3"/>
      <c r="C696" s="3"/>
      <c r="D696" s="3"/>
      <c r="E696" s="4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4"/>
      <c r="R696" s="3"/>
      <c r="S696" s="3"/>
      <c r="T696" s="3"/>
      <c r="U696" s="3"/>
    </row>
    <row r="697">
      <c r="A697" s="3"/>
      <c r="B697" s="3"/>
      <c r="C697" s="3"/>
      <c r="D697" s="3"/>
      <c r="E697" s="4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4"/>
      <c r="R697" s="3"/>
      <c r="S697" s="3"/>
      <c r="T697" s="3"/>
      <c r="U697" s="3"/>
    </row>
    <row r="698">
      <c r="A698" s="3"/>
      <c r="B698" s="3"/>
      <c r="C698" s="3"/>
      <c r="D698" s="3"/>
      <c r="E698" s="4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4"/>
      <c r="R698" s="3"/>
      <c r="S698" s="3"/>
      <c r="T698" s="3"/>
      <c r="U698" s="3"/>
    </row>
    <row r="699">
      <c r="A699" s="3"/>
      <c r="B699" s="3"/>
      <c r="C699" s="3"/>
      <c r="D699" s="3"/>
      <c r="E699" s="4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4"/>
      <c r="R699" s="3"/>
      <c r="S699" s="3"/>
      <c r="T699" s="3"/>
      <c r="U699" s="3"/>
    </row>
    <row r="700">
      <c r="A700" s="3"/>
      <c r="B700" s="3"/>
      <c r="C700" s="3"/>
      <c r="D700" s="3"/>
      <c r="E700" s="4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4"/>
      <c r="R700" s="3"/>
      <c r="S700" s="3"/>
      <c r="T700" s="3"/>
      <c r="U700" s="3"/>
    </row>
    <row r="701">
      <c r="A701" s="3"/>
      <c r="B701" s="3"/>
      <c r="C701" s="3"/>
      <c r="D701" s="3"/>
      <c r="E701" s="4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4"/>
      <c r="R701" s="3"/>
      <c r="S701" s="3"/>
      <c r="T701" s="3"/>
      <c r="U701" s="3"/>
    </row>
    <row r="702">
      <c r="A702" s="3"/>
      <c r="B702" s="3"/>
      <c r="C702" s="3"/>
      <c r="D702" s="3"/>
      <c r="E702" s="4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4"/>
      <c r="R702" s="3"/>
      <c r="S702" s="3"/>
      <c r="T702" s="3"/>
      <c r="U702" s="3"/>
    </row>
    <row r="703">
      <c r="A703" s="3"/>
      <c r="B703" s="3"/>
      <c r="C703" s="3"/>
      <c r="D703" s="3"/>
      <c r="E703" s="4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4"/>
      <c r="R703" s="3"/>
      <c r="S703" s="3"/>
      <c r="T703" s="3"/>
      <c r="U703" s="3"/>
    </row>
    <row r="704">
      <c r="A704" s="3"/>
      <c r="B704" s="3"/>
      <c r="C704" s="3"/>
      <c r="D704" s="3"/>
      <c r="E704" s="4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4"/>
      <c r="R704" s="3"/>
      <c r="S704" s="3"/>
      <c r="T704" s="3"/>
      <c r="U704" s="3"/>
    </row>
    <row r="705">
      <c r="A705" s="3"/>
      <c r="B705" s="3"/>
      <c r="C705" s="3"/>
      <c r="D705" s="3"/>
      <c r="E705" s="4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4"/>
      <c r="R705" s="3"/>
      <c r="S705" s="3"/>
      <c r="T705" s="3"/>
      <c r="U705" s="3"/>
    </row>
    <row r="706">
      <c r="A706" s="3"/>
      <c r="B706" s="3"/>
      <c r="C706" s="3"/>
      <c r="D706" s="3"/>
      <c r="E706" s="4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4"/>
      <c r="R706" s="3"/>
      <c r="S706" s="3"/>
      <c r="T706" s="3"/>
      <c r="U706" s="3"/>
    </row>
    <row r="707">
      <c r="A707" s="3"/>
      <c r="B707" s="3"/>
      <c r="C707" s="3"/>
      <c r="D707" s="3"/>
      <c r="E707" s="4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4"/>
      <c r="R707" s="3"/>
      <c r="S707" s="3"/>
      <c r="T707" s="3"/>
      <c r="U707" s="3"/>
    </row>
    <row r="708">
      <c r="A708" s="3"/>
      <c r="B708" s="3"/>
      <c r="C708" s="3"/>
      <c r="D708" s="3"/>
      <c r="E708" s="4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4"/>
      <c r="R708" s="3"/>
      <c r="S708" s="3"/>
      <c r="T708" s="3"/>
      <c r="U708" s="3"/>
    </row>
    <row r="709">
      <c r="A709" s="3"/>
      <c r="B709" s="3"/>
      <c r="C709" s="3"/>
      <c r="D709" s="3"/>
      <c r="E709" s="4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4"/>
      <c r="R709" s="3"/>
      <c r="S709" s="3"/>
      <c r="T709" s="3"/>
      <c r="U709" s="3"/>
    </row>
    <row r="710">
      <c r="A710" s="3"/>
      <c r="B710" s="3"/>
      <c r="C710" s="3"/>
      <c r="D710" s="3"/>
      <c r="E710" s="4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4"/>
      <c r="R710" s="3"/>
      <c r="S710" s="3"/>
      <c r="T710" s="3"/>
      <c r="U710" s="3"/>
    </row>
    <row r="711">
      <c r="A711" s="3"/>
      <c r="B711" s="3"/>
      <c r="C711" s="3"/>
      <c r="D711" s="3"/>
      <c r="E711" s="4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4"/>
      <c r="R711" s="3"/>
      <c r="S711" s="3"/>
      <c r="T711" s="3"/>
      <c r="U711" s="3"/>
    </row>
    <row r="712">
      <c r="A712" s="3"/>
      <c r="B712" s="3"/>
      <c r="C712" s="3"/>
      <c r="D712" s="3"/>
      <c r="E712" s="4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4"/>
      <c r="R712" s="3"/>
      <c r="S712" s="3"/>
      <c r="T712" s="3"/>
      <c r="U712" s="3"/>
    </row>
    <row r="713">
      <c r="A713" s="3"/>
      <c r="B713" s="3"/>
      <c r="C713" s="3"/>
      <c r="D713" s="3"/>
      <c r="E713" s="4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4"/>
      <c r="R713" s="3"/>
      <c r="S713" s="3"/>
      <c r="T713" s="3"/>
      <c r="U713" s="3"/>
    </row>
    <row r="714">
      <c r="A714" s="3"/>
      <c r="B714" s="3"/>
      <c r="C714" s="3"/>
      <c r="D714" s="3"/>
      <c r="E714" s="4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4"/>
      <c r="R714" s="3"/>
      <c r="S714" s="3"/>
      <c r="T714" s="3"/>
      <c r="U714" s="3"/>
    </row>
    <row r="715">
      <c r="A715" s="3"/>
      <c r="B715" s="3"/>
      <c r="C715" s="3"/>
      <c r="D715" s="3"/>
      <c r="E715" s="4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4"/>
      <c r="R715" s="3"/>
      <c r="S715" s="3"/>
      <c r="T715" s="3"/>
      <c r="U715" s="3"/>
    </row>
    <row r="716">
      <c r="A716" s="3"/>
      <c r="B716" s="3"/>
      <c r="C716" s="3"/>
      <c r="D716" s="3"/>
      <c r="E716" s="4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4"/>
      <c r="R716" s="3"/>
      <c r="S716" s="3"/>
      <c r="T716" s="3"/>
      <c r="U716" s="3"/>
    </row>
    <row r="717">
      <c r="A717" s="3"/>
      <c r="B717" s="3"/>
      <c r="C717" s="3"/>
      <c r="D717" s="3"/>
      <c r="E717" s="4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4"/>
      <c r="R717" s="3"/>
      <c r="S717" s="3"/>
      <c r="T717" s="3"/>
      <c r="U717" s="3"/>
    </row>
    <row r="718">
      <c r="A718" s="3"/>
      <c r="B718" s="3"/>
      <c r="C718" s="3"/>
      <c r="D718" s="3"/>
      <c r="E718" s="4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4"/>
      <c r="R718" s="3"/>
      <c r="S718" s="3"/>
      <c r="T718" s="3"/>
      <c r="U718" s="3"/>
    </row>
    <row r="719">
      <c r="A719" s="3"/>
      <c r="B719" s="3"/>
      <c r="C719" s="3"/>
      <c r="D719" s="3"/>
      <c r="E719" s="4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4"/>
      <c r="R719" s="3"/>
      <c r="S719" s="3"/>
      <c r="T719" s="3"/>
      <c r="U719" s="3"/>
    </row>
    <row r="720">
      <c r="A720" s="3"/>
      <c r="B720" s="3"/>
      <c r="C720" s="3"/>
      <c r="D720" s="3"/>
      <c r="E720" s="4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4"/>
      <c r="R720" s="3"/>
      <c r="S720" s="3"/>
      <c r="T720" s="3"/>
      <c r="U720" s="3"/>
    </row>
    <row r="721">
      <c r="A721" s="3"/>
      <c r="B721" s="3"/>
      <c r="C721" s="3"/>
      <c r="D721" s="3"/>
      <c r="E721" s="4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4"/>
      <c r="R721" s="3"/>
      <c r="S721" s="3"/>
      <c r="T721" s="3"/>
      <c r="U721" s="3"/>
    </row>
    <row r="722">
      <c r="A722" s="3"/>
      <c r="B722" s="3"/>
      <c r="C722" s="3"/>
      <c r="D722" s="3"/>
      <c r="E722" s="4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4"/>
      <c r="R722" s="3"/>
      <c r="S722" s="3"/>
      <c r="T722" s="3"/>
      <c r="U722" s="3"/>
    </row>
    <row r="723">
      <c r="A723" s="3"/>
      <c r="B723" s="3"/>
      <c r="C723" s="3"/>
      <c r="D723" s="3"/>
      <c r="E723" s="4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4"/>
      <c r="R723" s="3"/>
      <c r="S723" s="3"/>
      <c r="T723" s="3"/>
      <c r="U723" s="3"/>
    </row>
    <row r="724">
      <c r="A724" s="3"/>
      <c r="B724" s="3"/>
      <c r="C724" s="3"/>
      <c r="D724" s="3"/>
      <c r="E724" s="4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4"/>
      <c r="R724" s="3"/>
      <c r="S724" s="3"/>
      <c r="T724" s="3"/>
      <c r="U724" s="3"/>
    </row>
    <row r="725">
      <c r="A725" s="3"/>
      <c r="B725" s="3"/>
      <c r="C725" s="3"/>
      <c r="D725" s="3"/>
      <c r="E725" s="4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4"/>
      <c r="R725" s="3"/>
      <c r="S725" s="3"/>
      <c r="T725" s="3"/>
      <c r="U725" s="3"/>
    </row>
    <row r="726">
      <c r="A726" s="3"/>
      <c r="B726" s="3"/>
      <c r="C726" s="3"/>
      <c r="D726" s="3"/>
      <c r="E726" s="4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4"/>
      <c r="R726" s="3"/>
      <c r="S726" s="3"/>
      <c r="T726" s="3"/>
      <c r="U726" s="3"/>
    </row>
    <row r="727">
      <c r="A727" s="3"/>
      <c r="B727" s="3"/>
      <c r="C727" s="3"/>
      <c r="D727" s="3"/>
      <c r="E727" s="4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4"/>
      <c r="R727" s="3"/>
      <c r="S727" s="3"/>
      <c r="T727" s="3"/>
      <c r="U727" s="3"/>
    </row>
    <row r="728">
      <c r="A728" s="3"/>
      <c r="B728" s="3"/>
      <c r="C728" s="3"/>
      <c r="D728" s="3"/>
      <c r="E728" s="4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4"/>
      <c r="R728" s="3"/>
      <c r="S728" s="3"/>
      <c r="T728" s="3"/>
      <c r="U728" s="3"/>
    </row>
    <row r="729">
      <c r="A729" s="3"/>
      <c r="B729" s="3"/>
      <c r="C729" s="3"/>
      <c r="D729" s="3"/>
      <c r="E729" s="4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4"/>
      <c r="R729" s="3"/>
      <c r="S729" s="3"/>
      <c r="T729" s="3"/>
      <c r="U729" s="3"/>
    </row>
    <row r="730">
      <c r="A730" s="3"/>
      <c r="B730" s="3"/>
      <c r="C730" s="3"/>
      <c r="D730" s="3"/>
      <c r="E730" s="4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4"/>
      <c r="R730" s="3"/>
      <c r="S730" s="3"/>
      <c r="T730" s="3"/>
      <c r="U730" s="3"/>
    </row>
    <row r="731">
      <c r="A731" s="3"/>
      <c r="B731" s="3"/>
      <c r="C731" s="3"/>
      <c r="D731" s="3"/>
      <c r="E731" s="4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4"/>
      <c r="R731" s="3"/>
      <c r="S731" s="3"/>
      <c r="T731" s="3"/>
      <c r="U731" s="3"/>
    </row>
    <row r="732">
      <c r="A732" s="3"/>
      <c r="B732" s="3"/>
      <c r="C732" s="3"/>
      <c r="D732" s="3"/>
      <c r="E732" s="4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4"/>
      <c r="R732" s="3"/>
      <c r="S732" s="3"/>
      <c r="T732" s="3"/>
      <c r="U732" s="3"/>
    </row>
    <row r="733">
      <c r="A733" s="3"/>
      <c r="B733" s="3"/>
      <c r="C733" s="3"/>
      <c r="D733" s="3"/>
      <c r="E733" s="4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4"/>
      <c r="R733" s="3"/>
      <c r="S733" s="3"/>
      <c r="T733" s="3"/>
      <c r="U733" s="3"/>
    </row>
    <row r="734">
      <c r="A734" s="3"/>
      <c r="B734" s="3"/>
      <c r="C734" s="3"/>
      <c r="D734" s="3"/>
      <c r="E734" s="4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4"/>
      <c r="R734" s="3"/>
      <c r="S734" s="3"/>
      <c r="T734" s="3"/>
      <c r="U734" s="3"/>
    </row>
    <row r="735">
      <c r="A735" s="3"/>
      <c r="B735" s="3"/>
      <c r="C735" s="3"/>
      <c r="D735" s="3"/>
      <c r="E735" s="4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4"/>
      <c r="R735" s="3"/>
      <c r="S735" s="3"/>
      <c r="T735" s="3"/>
      <c r="U735" s="3"/>
    </row>
    <row r="736">
      <c r="A736" s="3"/>
      <c r="B736" s="3"/>
      <c r="C736" s="3"/>
      <c r="D736" s="3"/>
      <c r="E736" s="4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4"/>
      <c r="R736" s="3"/>
      <c r="S736" s="3"/>
      <c r="T736" s="3"/>
      <c r="U736" s="3"/>
    </row>
    <row r="737">
      <c r="A737" s="3"/>
      <c r="B737" s="3"/>
      <c r="C737" s="3"/>
      <c r="D737" s="3"/>
      <c r="E737" s="4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4"/>
      <c r="R737" s="3"/>
      <c r="S737" s="3"/>
      <c r="T737" s="3"/>
      <c r="U737" s="3"/>
    </row>
    <row r="738">
      <c r="A738" s="3"/>
      <c r="B738" s="3"/>
      <c r="C738" s="3"/>
      <c r="D738" s="3"/>
      <c r="E738" s="4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4"/>
      <c r="R738" s="3"/>
      <c r="S738" s="3"/>
      <c r="T738" s="3"/>
      <c r="U738" s="3"/>
    </row>
    <row r="739">
      <c r="A739" s="3"/>
      <c r="B739" s="3"/>
      <c r="C739" s="3"/>
      <c r="D739" s="3"/>
      <c r="E739" s="4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4"/>
      <c r="R739" s="3"/>
      <c r="S739" s="3"/>
      <c r="T739" s="3"/>
      <c r="U739" s="3"/>
    </row>
    <row r="740">
      <c r="A740" s="3"/>
      <c r="B740" s="3"/>
      <c r="C740" s="3"/>
      <c r="D740" s="3"/>
      <c r="E740" s="4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4"/>
      <c r="R740" s="3"/>
      <c r="S740" s="3"/>
      <c r="T740" s="3"/>
      <c r="U740" s="3"/>
    </row>
    <row r="741">
      <c r="A741" s="3"/>
      <c r="B741" s="3"/>
      <c r="C741" s="3"/>
      <c r="D741" s="3"/>
      <c r="E741" s="4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4"/>
      <c r="R741" s="3"/>
      <c r="S741" s="3"/>
      <c r="T741" s="3"/>
      <c r="U741" s="3"/>
    </row>
    <row r="742">
      <c r="A742" s="3"/>
      <c r="B742" s="3"/>
      <c r="C742" s="3"/>
      <c r="D742" s="3"/>
      <c r="E742" s="4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4"/>
      <c r="R742" s="3"/>
      <c r="S742" s="3"/>
      <c r="T742" s="3"/>
      <c r="U742" s="3"/>
    </row>
    <row r="743">
      <c r="A743" s="3"/>
      <c r="B743" s="3"/>
      <c r="C743" s="3"/>
      <c r="D743" s="3"/>
      <c r="E743" s="4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4"/>
      <c r="R743" s="3"/>
      <c r="S743" s="3"/>
      <c r="T743" s="3"/>
      <c r="U743" s="3"/>
    </row>
    <row r="744">
      <c r="A744" s="3"/>
      <c r="B744" s="3"/>
      <c r="C744" s="3"/>
      <c r="D744" s="3"/>
      <c r="E744" s="4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4"/>
      <c r="R744" s="3"/>
      <c r="S744" s="3"/>
      <c r="T744" s="3"/>
      <c r="U744" s="3"/>
    </row>
    <row r="745">
      <c r="A745" s="3"/>
      <c r="B745" s="3"/>
      <c r="C745" s="3"/>
      <c r="D745" s="3"/>
      <c r="E745" s="4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4"/>
      <c r="R745" s="3"/>
      <c r="S745" s="3"/>
      <c r="T745" s="3"/>
      <c r="U745" s="3"/>
    </row>
    <row r="746">
      <c r="A746" s="3"/>
      <c r="B746" s="3"/>
      <c r="C746" s="3"/>
      <c r="D746" s="3"/>
      <c r="E746" s="4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4"/>
      <c r="R746" s="3"/>
      <c r="S746" s="3"/>
      <c r="T746" s="3"/>
      <c r="U746" s="3"/>
    </row>
    <row r="747">
      <c r="A747" s="3"/>
      <c r="B747" s="3"/>
      <c r="C747" s="3"/>
      <c r="D747" s="3"/>
      <c r="E747" s="4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4"/>
      <c r="R747" s="3"/>
      <c r="S747" s="3"/>
      <c r="T747" s="3"/>
      <c r="U747" s="3"/>
    </row>
    <row r="748">
      <c r="A748" s="3"/>
      <c r="B748" s="3"/>
      <c r="C748" s="3"/>
      <c r="D748" s="3"/>
      <c r="E748" s="4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4"/>
      <c r="R748" s="3"/>
      <c r="S748" s="3"/>
      <c r="T748" s="3"/>
      <c r="U748" s="3"/>
    </row>
    <row r="749">
      <c r="A749" s="3"/>
      <c r="B749" s="3"/>
      <c r="C749" s="3"/>
      <c r="D749" s="3"/>
      <c r="E749" s="4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4"/>
      <c r="R749" s="3"/>
      <c r="S749" s="3"/>
      <c r="T749" s="3"/>
      <c r="U749" s="3"/>
    </row>
    <row r="750">
      <c r="A750" s="3"/>
      <c r="B750" s="3"/>
      <c r="C750" s="3"/>
      <c r="D750" s="3"/>
      <c r="E750" s="4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4"/>
      <c r="R750" s="3"/>
      <c r="S750" s="3"/>
      <c r="T750" s="3"/>
      <c r="U750" s="3"/>
    </row>
    <row r="751">
      <c r="A751" s="3"/>
      <c r="B751" s="3"/>
      <c r="C751" s="3"/>
      <c r="D751" s="3"/>
      <c r="E751" s="4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4"/>
      <c r="R751" s="3"/>
      <c r="S751" s="3"/>
      <c r="T751" s="3"/>
      <c r="U751" s="3"/>
    </row>
    <row r="752">
      <c r="A752" s="3"/>
      <c r="B752" s="3"/>
      <c r="C752" s="3"/>
      <c r="D752" s="3"/>
      <c r="E752" s="4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4"/>
      <c r="R752" s="3"/>
      <c r="S752" s="3"/>
      <c r="T752" s="3"/>
      <c r="U752" s="3"/>
    </row>
    <row r="753">
      <c r="A753" s="3"/>
      <c r="B753" s="3"/>
      <c r="C753" s="3"/>
      <c r="D753" s="3"/>
      <c r="E753" s="4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4"/>
      <c r="R753" s="3"/>
      <c r="S753" s="3"/>
      <c r="T753" s="3"/>
      <c r="U753" s="3"/>
    </row>
    <row r="754">
      <c r="A754" s="3"/>
      <c r="B754" s="3"/>
      <c r="C754" s="3"/>
      <c r="D754" s="3"/>
      <c r="E754" s="4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4"/>
      <c r="R754" s="3"/>
      <c r="S754" s="3"/>
      <c r="T754" s="3"/>
      <c r="U754" s="3"/>
    </row>
    <row r="755">
      <c r="A755" s="3"/>
      <c r="B755" s="3"/>
      <c r="C755" s="3"/>
      <c r="D755" s="3"/>
      <c r="E755" s="4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4"/>
      <c r="R755" s="3"/>
      <c r="S755" s="3"/>
      <c r="T755" s="3"/>
      <c r="U755" s="3"/>
    </row>
    <row r="756">
      <c r="A756" s="3"/>
      <c r="B756" s="3"/>
      <c r="C756" s="3"/>
      <c r="D756" s="3"/>
      <c r="E756" s="4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4"/>
      <c r="R756" s="3"/>
      <c r="S756" s="3"/>
      <c r="T756" s="3"/>
      <c r="U756" s="3"/>
    </row>
    <row r="757">
      <c r="A757" s="3"/>
      <c r="B757" s="3"/>
      <c r="C757" s="3"/>
      <c r="D757" s="3"/>
      <c r="E757" s="4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4"/>
      <c r="R757" s="3"/>
      <c r="S757" s="3"/>
      <c r="T757" s="3"/>
      <c r="U757" s="3"/>
    </row>
    <row r="758">
      <c r="A758" s="3"/>
      <c r="B758" s="3"/>
      <c r="C758" s="3"/>
      <c r="D758" s="3"/>
      <c r="E758" s="4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4"/>
      <c r="R758" s="3"/>
      <c r="S758" s="3"/>
      <c r="T758" s="3"/>
      <c r="U758" s="3"/>
    </row>
    <row r="759">
      <c r="A759" s="3"/>
      <c r="B759" s="3"/>
      <c r="C759" s="3"/>
      <c r="D759" s="3"/>
      <c r="E759" s="4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4"/>
      <c r="R759" s="3"/>
      <c r="S759" s="3"/>
      <c r="T759" s="3"/>
      <c r="U759" s="3"/>
    </row>
    <row r="760">
      <c r="A760" s="3"/>
      <c r="B760" s="3"/>
      <c r="C760" s="3"/>
      <c r="D760" s="3"/>
      <c r="E760" s="4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4"/>
      <c r="R760" s="3"/>
      <c r="S760" s="3"/>
      <c r="T760" s="3"/>
      <c r="U760" s="3"/>
    </row>
    <row r="761">
      <c r="A761" s="3"/>
      <c r="B761" s="3"/>
      <c r="C761" s="3"/>
      <c r="D761" s="3"/>
      <c r="E761" s="4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4"/>
      <c r="R761" s="3"/>
      <c r="S761" s="3"/>
      <c r="T761" s="3"/>
      <c r="U761" s="3"/>
    </row>
    <row r="762">
      <c r="A762" s="3"/>
      <c r="B762" s="3"/>
      <c r="C762" s="3"/>
      <c r="D762" s="3"/>
      <c r="E762" s="4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4"/>
      <c r="R762" s="3"/>
      <c r="S762" s="3"/>
      <c r="T762" s="3"/>
      <c r="U762" s="3"/>
    </row>
    <row r="763">
      <c r="A763" s="3"/>
      <c r="B763" s="3"/>
      <c r="C763" s="3"/>
      <c r="D763" s="3"/>
      <c r="E763" s="4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4"/>
      <c r="R763" s="3"/>
      <c r="S763" s="3"/>
      <c r="T763" s="3"/>
      <c r="U763" s="3"/>
    </row>
    <row r="764">
      <c r="A764" s="3"/>
      <c r="B764" s="3"/>
      <c r="C764" s="3"/>
      <c r="D764" s="3"/>
      <c r="E764" s="4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4"/>
      <c r="R764" s="3"/>
      <c r="S764" s="3"/>
      <c r="T764" s="3"/>
      <c r="U764" s="3"/>
    </row>
    <row r="765">
      <c r="A765" s="3"/>
      <c r="B765" s="3"/>
      <c r="C765" s="3"/>
      <c r="D765" s="3"/>
      <c r="E765" s="4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4"/>
      <c r="R765" s="3"/>
      <c r="S765" s="3"/>
      <c r="T765" s="3"/>
      <c r="U765" s="3"/>
    </row>
    <row r="766">
      <c r="A766" s="3"/>
      <c r="B766" s="3"/>
      <c r="C766" s="3"/>
      <c r="D766" s="3"/>
      <c r="E766" s="4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4"/>
      <c r="R766" s="3"/>
      <c r="S766" s="3"/>
      <c r="T766" s="3"/>
      <c r="U766" s="3"/>
    </row>
    <row r="767">
      <c r="A767" s="3"/>
      <c r="B767" s="3"/>
      <c r="C767" s="3"/>
      <c r="D767" s="3"/>
      <c r="E767" s="4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4"/>
      <c r="R767" s="3"/>
      <c r="S767" s="3"/>
      <c r="T767" s="3"/>
      <c r="U767" s="3"/>
    </row>
    <row r="768">
      <c r="A768" s="3"/>
      <c r="B768" s="3"/>
      <c r="C768" s="3"/>
      <c r="D768" s="3"/>
      <c r="E768" s="4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4"/>
      <c r="R768" s="3"/>
      <c r="S768" s="3"/>
      <c r="T768" s="3"/>
      <c r="U768" s="3"/>
    </row>
    <row r="769">
      <c r="A769" s="3"/>
      <c r="B769" s="3"/>
      <c r="C769" s="3"/>
      <c r="D769" s="3"/>
      <c r="E769" s="4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4"/>
      <c r="R769" s="3"/>
      <c r="S769" s="3"/>
      <c r="T769" s="3"/>
      <c r="U769" s="3"/>
    </row>
    <row r="770">
      <c r="A770" s="3"/>
      <c r="B770" s="3"/>
      <c r="C770" s="3"/>
      <c r="D770" s="3"/>
      <c r="E770" s="4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4"/>
      <c r="R770" s="3"/>
      <c r="S770" s="3"/>
      <c r="T770" s="3"/>
      <c r="U770" s="3"/>
    </row>
    <row r="771">
      <c r="A771" s="3"/>
      <c r="B771" s="3"/>
      <c r="C771" s="3"/>
      <c r="D771" s="3"/>
      <c r="E771" s="4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4"/>
      <c r="R771" s="3"/>
      <c r="S771" s="3"/>
      <c r="T771" s="3"/>
      <c r="U771" s="3"/>
    </row>
    <row r="772">
      <c r="A772" s="3"/>
      <c r="B772" s="3"/>
      <c r="C772" s="3"/>
      <c r="D772" s="3"/>
      <c r="E772" s="4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4"/>
      <c r="R772" s="3"/>
      <c r="S772" s="3"/>
      <c r="T772" s="3"/>
      <c r="U772" s="3"/>
    </row>
    <row r="773">
      <c r="A773" s="3"/>
      <c r="B773" s="3"/>
      <c r="C773" s="3"/>
      <c r="D773" s="3"/>
      <c r="E773" s="4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4"/>
      <c r="R773" s="3"/>
      <c r="S773" s="3"/>
      <c r="T773" s="3"/>
      <c r="U773" s="3"/>
    </row>
    <row r="774">
      <c r="A774" s="3"/>
      <c r="B774" s="3"/>
      <c r="C774" s="3"/>
      <c r="D774" s="3"/>
      <c r="E774" s="4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4"/>
      <c r="R774" s="3"/>
      <c r="S774" s="3"/>
      <c r="T774" s="3"/>
      <c r="U774" s="3"/>
    </row>
    <row r="775">
      <c r="A775" s="3"/>
      <c r="B775" s="3"/>
      <c r="C775" s="3"/>
      <c r="D775" s="3"/>
      <c r="E775" s="4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4"/>
      <c r="R775" s="3"/>
      <c r="S775" s="3"/>
      <c r="T775" s="3"/>
      <c r="U775" s="3"/>
    </row>
    <row r="776">
      <c r="A776" s="3"/>
      <c r="B776" s="3"/>
      <c r="C776" s="3"/>
      <c r="D776" s="3"/>
      <c r="E776" s="4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4"/>
      <c r="R776" s="3"/>
      <c r="S776" s="3"/>
      <c r="T776" s="3"/>
      <c r="U776" s="3"/>
    </row>
    <row r="777">
      <c r="A777" s="3"/>
      <c r="B777" s="3"/>
      <c r="C777" s="3"/>
      <c r="D777" s="3"/>
      <c r="E777" s="4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4"/>
      <c r="R777" s="3"/>
      <c r="S777" s="3"/>
      <c r="T777" s="3"/>
      <c r="U777" s="3"/>
    </row>
    <row r="778">
      <c r="A778" s="3"/>
      <c r="B778" s="3"/>
      <c r="C778" s="3"/>
      <c r="D778" s="3"/>
      <c r="E778" s="4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4"/>
      <c r="R778" s="3"/>
      <c r="S778" s="3"/>
      <c r="T778" s="3"/>
      <c r="U778" s="3"/>
    </row>
    <row r="779">
      <c r="A779" s="3"/>
      <c r="B779" s="3"/>
      <c r="C779" s="3"/>
      <c r="D779" s="3"/>
      <c r="E779" s="4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4"/>
      <c r="R779" s="3"/>
      <c r="S779" s="3"/>
      <c r="T779" s="3"/>
      <c r="U779" s="3"/>
    </row>
    <row r="780">
      <c r="A780" s="3"/>
      <c r="B780" s="3"/>
      <c r="C780" s="3"/>
      <c r="D780" s="3"/>
      <c r="E780" s="4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4"/>
      <c r="R780" s="3"/>
      <c r="S780" s="3"/>
      <c r="T780" s="3"/>
      <c r="U780" s="3"/>
    </row>
    <row r="781">
      <c r="A781" s="3"/>
      <c r="B781" s="3"/>
      <c r="C781" s="3"/>
      <c r="D781" s="3"/>
      <c r="E781" s="4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4"/>
      <c r="R781" s="3"/>
      <c r="S781" s="3"/>
      <c r="T781" s="3"/>
      <c r="U781" s="3"/>
    </row>
    <row r="782">
      <c r="A782" s="3"/>
      <c r="B782" s="3"/>
      <c r="C782" s="3"/>
      <c r="D782" s="3"/>
      <c r="E782" s="4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4"/>
      <c r="R782" s="3"/>
      <c r="S782" s="3"/>
      <c r="T782" s="3"/>
      <c r="U782" s="3"/>
    </row>
    <row r="783">
      <c r="A783" s="3"/>
      <c r="B783" s="3"/>
      <c r="C783" s="3"/>
      <c r="D783" s="3"/>
      <c r="E783" s="4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4"/>
      <c r="R783" s="3"/>
      <c r="S783" s="3"/>
      <c r="T783" s="3"/>
      <c r="U783" s="3"/>
    </row>
    <row r="784">
      <c r="A784" s="3"/>
      <c r="B784" s="3"/>
      <c r="C784" s="3"/>
      <c r="D784" s="3"/>
      <c r="E784" s="4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4"/>
      <c r="R784" s="3"/>
      <c r="S784" s="3"/>
      <c r="T784" s="3"/>
      <c r="U784" s="3"/>
    </row>
    <row r="785">
      <c r="A785" s="3"/>
      <c r="B785" s="3"/>
      <c r="C785" s="3"/>
      <c r="D785" s="3"/>
      <c r="E785" s="4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4"/>
      <c r="R785" s="3"/>
      <c r="S785" s="3"/>
      <c r="T785" s="3"/>
      <c r="U785" s="3"/>
    </row>
    <row r="786">
      <c r="A786" s="3"/>
      <c r="B786" s="3"/>
      <c r="C786" s="3"/>
      <c r="D786" s="3"/>
      <c r="E786" s="4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4"/>
      <c r="R786" s="3"/>
      <c r="S786" s="3"/>
      <c r="T786" s="3"/>
      <c r="U786" s="3"/>
    </row>
    <row r="787">
      <c r="A787" s="3"/>
      <c r="B787" s="3"/>
      <c r="C787" s="3"/>
      <c r="D787" s="3"/>
      <c r="E787" s="4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4"/>
      <c r="R787" s="3"/>
      <c r="S787" s="3"/>
      <c r="T787" s="3"/>
      <c r="U787" s="3"/>
    </row>
    <row r="788">
      <c r="A788" s="3"/>
      <c r="B788" s="3"/>
      <c r="C788" s="3"/>
      <c r="D788" s="3"/>
      <c r="E788" s="4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4"/>
      <c r="R788" s="3"/>
      <c r="S788" s="3"/>
      <c r="T788" s="3"/>
      <c r="U788" s="3"/>
    </row>
    <row r="789">
      <c r="A789" s="3"/>
      <c r="B789" s="3"/>
      <c r="C789" s="3"/>
      <c r="D789" s="3"/>
      <c r="E789" s="4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4"/>
      <c r="R789" s="3"/>
      <c r="S789" s="3"/>
      <c r="T789" s="3"/>
      <c r="U789" s="3"/>
    </row>
    <row r="790">
      <c r="A790" s="3"/>
      <c r="B790" s="3"/>
      <c r="C790" s="3"/>
      <c r="D790" s="3"/>
      <c r="E790" s="4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4"/>
      <c r="R790" s="3"/>
      <c r="S790" s="3"/>
      <c r="T790" s="3"/>
      <c r="U790" s="3"/>
    </row>
    <row r="791">
      <c r="A791" s="3"/>
      <c r="B791" s="3"/>
      <c r="C791" s="3"/>
      <c r="D791" s="3"/>
      <c r="E791" s="4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4"/>
      <c r="R791" s="3"/>
      <c r="S791" s="3"/>
      <c r="T791" s="3"/>
      <c r="U791" s="3"/>
    </row>
    <row r="792">
      <c r="A792" s="3"/>
      <c r="B792" s="3"/>
      <c r="C792" s="3"/>
      <c r="D792" s="3"/>
      <c r="E792" s="4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4"/>
      <c r="R792" s="3"/>
      <c r="S792" s="3"/>
      <c r="T792" s="3"/>
      <c r="U792" s="3"/>
    </row>
    <row r="793">
      <c r="A793" s="3"/>
      <c r="B793" s="3"/>
      <c r="C793" s="3"/>
      <c r="D793" s="3"/>
      <c r="E793" s="4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4"/>
      <c r="R793" s="3"/>
      <c r="S793" s="3"/>
      <c r="T793" s="3"/>
      <c r="U793" s="3"/>
    </row>
    <row r="794">
      <c r="A794" s="3"/>
      <c r="B794" s="3"/>
      <c r="C794" s="3"/>
      <c r="D794" s="3"/>
      <c r="E794" s="4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4"/>
      <c r="R794" s="3"/>
      <c r="S794" s="3"/>
      <c r="T794" s="3"/>
      <c r="U794" s="3"/>
    </row>
    <row r="795">
      <c r="A795" s="3"/>
      <c r="B795" s="3"/>
      <c r="C795" s="3"/>
      <c r="D795" s="3"/>
      <c r="E795" s="4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4"/>
      <c r="R795" s="3"/>
      <c r="S795" s="3"/>
      <c r="T795" s="3"/>
      <c r="U795" s="3"/>
    </row>
    <row r="796">
      <c r="A796" s="3"/>
      <c r="B796" s="3"/>
      <c r="C796" s="3"/>
      <c r="D796" s="3"/>
      <c r="E796" s="4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4"/>
      <c r="R796" s="3"/>
      <c r="S796" s="3"/>
      <c r="T796" s="3"/>
      <c r="U796" s="3"/>
    </row>
    <row r="797">
      <c r="A797" s="3"/>
      <c r="B797" s="3"/>
      <c r="C797" s="3"/>
      <c r="D797" s="3"/>
      <c r="E797" s="4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4"/>
      <c r="R797" s="3"/>
      <c r="S797" s="3"/>
      <c r="T797" s="3"/>
      <c r="U797" s="3"/>
    </row>
    <row r="798">
      <c r="A798" s="3"/>
      <c r="B798" s="3"/>
      <c r="C798" s="3"/>
      <c r="D798" s="3"/>
      <c r="E798" s="4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4"/>
      <c r="R798" s="3"/>
      <c r="S798" s="3"/>
      <c r="T798" s="3"/>
      <c r="U798" s="3"/>
    </row>
    <row r="799">
      <c r="A799" s="3"/>
      <c r="B799" s="3"/>
      <c r="C799" s="3"/>
      <c r="D799" s="3"/>
      <c r="E799" s="4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4"/>
      <c r="R799" s="3"/>
      <c r="S799" s="3"/>
      <c r="T799" s="3"/>
      <c r="U799" s="3"/>
    </row>
    <row r="800">
      <c r="A800" s="3"/>
      <c r="B800" s="3"/>
      <c r="C800" s="3"/>
      <c r="D800" s="3"/>
      <c r="E800" s="4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4"/>
      <c r="R800" s="3"/>
      <c r="S800" s="3"/>
      <c r="T800" s="3"/>
      <c r="U800" s="3"/>
    </row>
    <row r="801">
      <c r="A801" s="3"/>
      <c r="B801" s="3"/>
      <c r="C801" s="3"/>
      <c r="D801" s="3"/>
      <c r="E801" s="4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4"/>
      <c r="R801" s="3"/>
      <c r="S801" s="3"/>
      <c r="T801" s="3"/>
      <c r="U801" s="3"/>
    </row>
    <row r="802">
      <c r="A802" s="3"/>
      <c r="B802" s="3"/>
      <c r="C802" s="3"/>
      <c r="D802" s="3"/>
      <c r="E802" s="4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4"/>
      <c r="R802" s="3"/>
      <c r="S802" s="3"/>
      <c r="T802" s="3"/>
      <c r="U802" s="3"/>
    </row>
    <row r="803">
      <c r="A803" s="3"/>
      <c r="B803" s="3"/>
      <c r="C803" s="3"/>
      <c r="D803" s="3"/>
      <c r="E803" s="4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4"/>
      <c r="R803" s="3"/>
      <c r="S803" s="3"/>
      <c r="T803" s="3"/>
      <c r="U803" s="3"/>
    </row>
    <row r="804">
      <c r="A804" s="3"/>
      <c r="B804" s="3"/>
      <c r="C804" s="3"/>
      <c r="D804" s="3"/>
      <c r="E804" s="4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4"/>
      <c r="R804" s="3"/>
      <c r="S804" s="3"/>
      <c r="T804" s="3"/>
      <c r="U804" s="3"/>
    </row>
    <row r="805">
      <c r="A805" s="3"/>
      <c r="B805" s="3"/>
      <c r="C805" s="3"/>
      <c r="D805" s="3"/>
      <c r="E805" s="4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4"/>
      <c r="R805" s="3"/>
      <c r="S805" s="3"/>
      <c r="T805" s="3"/>
      <c r="U805" s="3"/>
    </row>
    <row r="806">
      <c r="A806" s="3"/>
      <c r="B806" s="3"/>
      <c r="C806" s="3"/>
      <c r="D806" s="3"/>
      <c r="E806" s="4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4"/>
      <c r="R806" s="3"/>
      <c r="S806" s="3"/>
      <c r="T806" s="3"/>
      <c r="U806" s="3"/>
    </row>
    <row r="807">
      <c r="A807" s="3"/>
      <c r="B807" s="3"/>
      <c r="C807" s="3"/>
      <c r="D807" s="3"/>
      <c r="E807" s="4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4"/>
      <c r="R807" s="3"/>
      <c r="S807" s="3"/>
      <c r="T807" s="3"/>
      <c r="U807" s="3"/>
    </row>
    <row r="808">
      <c r="A808" s="3"/>
      <c r="B808" s="3"/>
      <c r="C808" s="3"/>
      <c r="D808" s="3"/>
      <c r="E808" s="4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4"/>
      <c r="R808" s="3"/>
      <c r="S808" s="3"/>
      <c r="T808" s="3"/>
      <c r="U808" s="3"/>
    </row>
    <row r="809">
      <c r="A809" s="3"/>
      <c r="B809" s="3"/>
      <c r="C809" s="3"/>
      <c r="D809" s="3"/>
      <c r="E809" s="4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4"/>
      <c r="R809" s="3"/>
      <c r="S809" s="3"/>
      <c r="T809" s="3"/>
      <c r="U809" s="3"/>
    </row>
    <row r="810">
      <c r="A810" s="3"/>
      <c r="B810" s="3"/>
      <c r="C810" s="3"/>
      <c r="D810" s="3"/>
      <c r="E810" s="4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4"/>
      <c r="R810" s="3"/>
      <c r="S810" s="3"/>
      <c r="T810" s="3"/>
      <c r="U810" s="3"/>
    </row>
    <row r="811">
      <c r="A811" s="3"/>
      <c r="B811" s="3"/>
      <c r="C811" s="3"/>
      <c r="D811" s="3"/>
      <c r="E811" s="4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4"/>
      <c r="R811" s="3"/>
      <c r="S811" s="3"/>
      <c r="T811" s="3"/>
      <c r="U811" s="3"/>
    </row>
    <row r="812">
      <c r="A812" s="3"/>
      <c r="B812" s="3"/>
      <c r="C812" s="3"/>
      <c r="D812" s="3"/>
      <c r="E812" s="4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4"/>
      <c r="R812" s="3"/>
      <c r="S812" s="3"/>
      <c r="T812" s="3"/>
      <c r="U812" s="3"/>
    </row>
    <row r="813">
      <c r="A813" s="3"/>
      <c r="B813" s="3"/>
      <c r="C813" s="3"/>
      <c r="D813" s="3"/>
      <c r="E813" s="4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4"/>
      <c r="R813" s="3"/>
      <c r="S813" s="3"/>
      <c r="T813" s="3"/>
      <c r="U813" s="3"/>
    </row>
    <row r="814">
      <c r="A814" s="3"/>
      <c r="B814" s="3"/>
      <c r="C814" s="3"/>
      <c r="D814" s="3"/>
      <c r="E814" s="4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4"/>
      <c r="R814" s="3"/>
      <c r="S814" s="3"/>
      <c r="T814" s="3"/>
      <c r="U814" s="3"/>
    </row>
    <row r="815">
      <c r="A815" s="3"/>
      <c r="B815" s="3"/>
      <c r="C815" s="3"/>
      <c r="D815" s="3"/>
      <c r="E815" s="4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4"/>
      <c r="R815" s="3"/>
      <c r="S815" s="3"/>
      <c r="T815" s="3"/>
      <c r="U815" s="3"/>
    </row>
    <row r="816">
      <c r="A816" s="3"/>
      <c r="B816" s="3"/>
      <c r="C816" s="3"/>
      <c r="D816" s="3"/>
      <c r="E816" s="4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4"/>
      <c r="R816" s="3"/>
      <c r="S816" s="3"/>
      <c r="T816" s="3"/>
      <c r="U816" s="3"/>
    </row>
    <row r="817">
      <c r="A817" s="3"/>
      <c r="B817" s="3"/>
      <c r="C817" s="3"/>
      <c r="D817" s="3"/>
      <c r="E817" s="4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4"/>
      <c r="R817" s="3"/>
      <c r="S817" s="3"/>
      <c r="T817" s="3"/>
      <c r="U817" s="3"/>
    </row>
    <row r="818">
      <c r="A818" s="3"/>
      <c r="B818" s="3"/>
      <c r="C818" s="3"/>
      <c r="D818" s="3"/>
      <c r="E818" s="4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4"/>
      <c r="R818" s="3"/>
      <c r="S818" s="3"/>
      <c r="T818" s="3"/>
      <c r="U818" s="3"/>
    </row>
    <row r="819">
      <c r="A819" s="3"/>
      <c r="B819" s="3"/>
      <c r="C819" s="3"/>
      <c r="D819" s="3"/>
      <c r="E819" s="4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4"/>
      <c r="R819" s="3"/>
      <c r="S819" s="3"/>
      <c r="T819" s="3"/>
      <c r="U819" s="3"/>
    </row>
    <row r="820">
      <c r="A820" s="3"/>
      <c r="B820" s="3"/>
      <c r="C820" s="3"/>
      <c r="D820" s="3"/>
      <c r="E820" s="4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4"/>
      <c r="R820" s="3"/>
      <c r="S820" s="3"/>
      <c r="T820" s="3"/>
      <c r="U820" s="3"/>
    </row>
    <row r="821">
      <c r="A821" s="3"/>
      <c r="B821" s="3"/>
      <c r="C821" s="3"/>
      <c r="D821" s="3"/>
      <c r="E821" s="4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4"/>
      <c r="R821" s="3"/>
      <c r="S821" s="3"/>
      <c r="T821" s="3"/>
      <c r="U821" s="3"/>
    </row>
    <row r="822">
      <c r="A822" s="3"/>
      <c r="B822" s="3"/>
      <c r="C822" s="3"/>
      <c r="D822" s="3"/>
      <c r="E822" s="4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4"/>
      <c r="R822" s="3"/>
      <c r="S822" s="3"/>
      <c r="T822" s="3"/>
      <c r="U822" s="3"/>
    </row>
    <row r="823">
      <c r="A823" s="3"/>
      <c r="B823" s="3"/>
      <c r="C823" s="3"/>
      <c r="D823" s="3"/>
      <c r="E823" s="4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4"/>
      <c r="R823" s="3"/>
      <c r="S823" s="3"/>
      <c r="T823" s="3"/>
      <c r="U823" s="3"/>
    </row>
    <row r="824">
      <c r="A824" s="3"/>
      <c r="B824" s="3"/>
      <c r="C824" s="3"/>
      <c r="D824" s="3"/>
      <c r="E824" s="4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4"/>
      <c r="R824" s="3"/>
      <c r="S824" s="3"/>
      <c r="T824" s="3"/>
      <c r="U824" s="3"/>
    </row>
    <row r="825">
      <c r="A825" s="3"/>
      <c r="B825" s="3"/>
      <c r="C825" s="3"/>
      <c r="D825" s="3"/>
      <c r="E825" s="4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4"/>
      <c r="R825" s="3"/>
      <c r="S825" s="3"/>
      <c r="T825" s="3"/>
      <c r="U825" s="3"/>
    </row>
    <row r="826">
      <c r="A826" s="3"/>
      <c r="B826" s="3"/>
      <c r="C826" s="3"/>
      <c r="D826" s="3"/>
      <c r="E826" s="4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4"/>
      <c r="R826" s="3"/>
      <c r="S826" s="3"/>
      <c r="T826" s="3"/>
      <c r="U826" s="3"/>
    </row>
    <row r="827">
      <c r="A827" s="3"/>
      <c r="B827" s="3"/>
      <c r="C827" s="3"/>
      <c r="D827" s="3"/>
      <c r="E827" s="4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4"/>
      <c r="R827" s="3"/>
      <c r="S827" s="3"/>
      <c r="T827" s="3"/>
      <c r="U827" s="3"/>
    </row>
    <row r="828">
      <c r="A828" s="3"/>
      <c r="B828" s="3"/>
      <c r="C828" s="3"/>
      <c r="D828" s="3"/>
      <c r="E828" s="4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4"/>
      <c r="R828" s="3"/>
      <c r="S828" s="3"/>
      <c r="T828" s="3"/>
      <c r="U828" s="3"/>
    </row>
    <row r="829">
      <c r="A829" s="3"/>
      <c r="B829" s="3"/>
      <c r="C829" s="3"/>
      <c r="D829" s="3"/>
      <c r="E829" s="4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4"/>
      <c r="R829" s="3"/>
      <c r="S829" s="3"/>
      <c r="T829" s="3"/>
      <c r="U829" s="3"/>
    </row>
    <row r="830">
      <c r="A830" s="3"/>
      <c r="B830" s="3"/>
      <c r="C830" s="3"/>
      <c r="D830" s="3"/>
      <c r="E830" s="4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4"/>
      <c r="R830" s="3"/>
      <c r="S830" s="3"/>
      <c r="T830" s="3"/>
      <c r="U830" s="3"/>
    </row>
    <row r="831">
      <c r="A831" s="3"/>
      <c r="B831" s="3"/>
      <c r="C831" s="3"/>
      <c r="D831" s="3"/>
      <c r="E831" s="4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4"/>
      <c r="R831" s="3"/>
      <c r="S831" s="3"/>
      <c r="T831" s="3"/>
      <c r="U831" s="3"/>
    </row>
    <row r="832">
      <c r="A832" s="3"/>
      <c r="B832" s="3"/>
      <c r="C832" s="3"/>
      <c r="D832" s="3"/>
      <c r="E832" s="4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4"/>
      <c r="R832" s="3"/>
      <c r="S832" s="3"/>
      <c r="T832" s="3"/>
      <c r="U832" s="3"/>
    </row>
    <row r="833">
      <c r="A833" s="3"/>
      <c r="B833" s="3"/>
      <c r="C833" s="3"/>
      <c r="D833" s="3"/>
      <c r="E833" s="4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4"/>
      <c r="R833" s="3"/>
      <c r="S833" s="3"/>
      <c r="T833" s="3"/>
      <c r="U833" s="3"/>
    </row>
    <row r="834">
      <c r="A834" s="3"/>
      <c r="B834" s="3"/>
      <c r="C834" s="3"/>
      <c r="D834" s="3"/>
      <c r="E834" s="4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4"/>
      <c r="R834" s="3"/>
      <c r="S834" s="3"/>
      <c r="T834" s="3"/>
      <c r="U834" s="3"/>
    </row>
    <row r="835">
      <c r="A835" s="3"/>
      <c r="B835" s="3"/>
      <c r="C835" s="3"/>
      <c r="D835" s="3"/>
      <c r="E835" s="4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4"/>
      <c r="R835" s="3"/>
      <c r="S835" s="3"/>
      <c r="T835" s="3"/>
      <c r="U835" s="3"/>
    </row>
    <row r="836">
      <c r="A836" s="3"/>
      <c r="B836" s="3"/>
      <c r="C836" s="3"/>
      <c r="D836" s="3"/>
      <c r="E836" s="4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4"/>
      <c r="R836" s="3"/>
      <c r="S836" s="3"/>
      <c r="T836" s="3"/>
      <c r="U836" s="3"/>
    </row>
    <row r="837">
      <c r="A837" s="3"/>
      <c r="B837" s="3"/>
      <c r="C837" s="3"/>
      <c r="D837" s="3"/>
      <c r="E837" s="4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4"/>
      <c r="R837" s="3"/>
      <c r="S837" s="3"/>
      <c r="T837" s="3"/>
      <c r="U837" s="3"/>
    </row>
    <row r="838">
      <c r="A838" s="3"/>
      <c r="B838" s="3"/>
      <c r="C838" s="3"/>
      <c r="D838" s="3"/>
      <c r="E838" s="4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4"/>
      <c r="R838" s="3"/>
      <c r="S838" s="3"/>
      <c r="T838" s="3"/>
      <c r="U838" s="3"/>
    </row>
    <row r="839">
      <c r="A839" s="3"/>
      <c r="B839" s="3"/>
      <c r="C839" s="3"/>
      <c r="D839" s="3"/>
      <c r="E839" s="4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4"/>
      <c r="R839" s="3"/>
      <c r="S839" s="3"/>
      <c r="T839" s="3"/>
      <c r="U839" s="3"/>
    </row>
    <row r="840">
      <c r="A840" s="3"/>
      <c r="B840" s="3"/>
      <c r="C840" s="3"/>
      <c r="D840" s="3"/>
      <c r="E840" s="4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4"/>
      <c r="R840" s="3"/>
      <c r="S840" s="3"/>
      <c r="T840" s="3"/>
      <c r="U840" s="3"/>
    </row>
    <row r="841">
      <c r="A841" s="3"/>
      <c r="B841" s="3"/>
      <c r="C841" s="3"/>
      <c r="D841" s="3"/>
      <c r="E841" s="4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4"/>
      <c r="R841" s="3"/>
      <c r="S841" s="3"/>
      <c r="T841" s="3"/>
      <c r="U841" s="3"/>
    </row>
    <row r="842">
      <c r="A842" s="3"/>
      <c r="B842" s="3"/>
      <c r="C842" s="3"/>
      <c r="D842" s="3"/>
      <c r="E842" s="4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4"/>
      <c r="R842" s="3"/>
      <c r="S842" s="3"/>
      <c r="T842" s="3"/>
      <c r="U842" s="3"/>
    </row>
    <row r="843">
      <c r="A843" s="3"/>
      <c r="B843" s="3"/>
      <c r="C843" s="3"/>
      <c r="D843" s="3"/>
      <c r="E843" s="4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4"/>
      <c r="R843" s="3"/>
      <c r="S843" s="3"/>
      <c r="T843" s="3"/>
      <c r="U843" s="3"/>
    </row>
    <row r="844">
      <c r="A844" s="3"/>
      <c r="B844" s="3"/>
      <c r="C844" s="3"/>
      <c r="D844" s="3"/>
      <c r="E844" s="4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4"/>
      <c r="R844" s="3"/>
      <c r="S844" s="3"/>
      <c r="T844" s="3"/>
      <c r="U844" s="3"/>
    </row>
    <row r="845">
      <c r="A845" s="3"/>
      <c r="B845" s="3"/>
      <c r="C845" s="3"/>
      <c r="D845" s="3"/>
      <c r="E845" s="4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4"/>
      <c r="R845" s="3"/>
      <c r="S845" s="3"/>
      <c r="T845" s="3"/>
      <c r="U845" s="3"/>
    </row>
    <row r="846">
      <c r="A846" s="3"/>
      <c r="B846" s="3"/>
      <c r="C846" s="3"/>
      <c r="D846" s="3"/>
      <c r="E846" s="4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4"/>
      <c r="R846" s="3"/>
      <c r="S846" s="3"/>
      <c r="T846" s="3"/>
      <c r="U846" s="3"/>
    </row>
    <row r="847">
      <c r="A847" s="3"/>
      <c r="B847" s="3"/>
      <c r="C847" s="3"/>
      <c r="D847" s="3"/>
      <c r="E847" s="4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4"/>
      <c r="R847" s="3"/>
      <c r="S847" s="3"/>
      <c r="T847" s="3"/>
      <c r="U847" s="3"/>
    </row>
    <row r="848">
      <c r="A848" s="3"/>
      <c r="B848" s="3"/>
      <c r="C848" s="3"/>
      <c r="D848" s="3"/>
      <c r="E848" s="4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4"/>
      <c r="R848" s="3"/>
      <c r="S848" s="3"/>
      <c r="T848" s="3"/>
      <c r="U848" s="3"/>
    </row>
    <row r="849">
      <c r="A849" s="3"/>
      <c r="B849" s="3"/>
      <c r="C849" s="3"/>
      <c r="D849" s="3"/>
      <c r="E849" s="4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4"/>
      <c r="R849" s="3"/>
      <c r="S849" s="3"/>
      <c r="T849" s="3"/>
      <c r="U849" s="3"/>
    </row>
    <row r="850">
      <c r="A850" s="3"/>
      <c r="B850" s="3"/>
      <c r="C850" s="3"/>
      <c r="D850" s="3"/>
      <c r="E850" s="4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4"/>
      <c r="R850" s="3"/>
      <c r="S850" s="3"/>
      <c r="T850" s="3"/>
      <c r="U850" s="3"/>
    </row>
    <row r="851">
      <c r="A851" s="3"/>
      <c r="B851" s="3"/>
      <c r="C851" s="3"/>
      <c r="D851" s="3"/>
      <c r="E851" s="4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4"/>
      <c r="R851" s="3"/>
      <c r="S851" s="3"/>
      <c r="T851" s="3"/>
      <c r="U851" s="3"/>
    </row>
    <row r="852">
      <c r="A852" s="3"/>
      <c r="B852" s="3"/>
      <c r="C852" s="3"/>
      <c r="D852" s="3"/>
      <c r="E852" s="4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4"/>
      <c r="R852" s="3"/>
      <c r="S852" s="3"/>
      <c r="T852" s="3"/>
      <c r="U852" s="3"/>
    </row>
    <row r="853">
      <c r="A853" s="3"/>
      <c r="B853" s="3"/>
      <c r="C853" s="3"/>
      <c r="D853" s="3"/>
      <c r="E853" s="4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4"/>
      <c r="R853" s="3"/>
      <c r="S853" s="3"/>
      <c r="T853" s="3"/>
      <c r="U853" s="3"/>
    </row>
    <row r="854">
      <c r="A854" s="3"/>
      <c r="B854" s="3"/>
      <c r="C854" s="3"/>
      <c r="D854" s="3"/>
      <c r="E854" s="4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4"/>
      <c r="R854" s="3"/>
      <c r="S854" s="3"/>
      <c r="T854" s="3"/>
      <c r="U854" s="3"/>
    </row>
    <row r="855">
      <c r="A855" s="3"/>
      <c r="B855" s="3"/>
      <c r="C855" s="3"/>
      <c r="D855" s="3"/>
      <c r="E855" s="4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4"/>
      <c r="R855" s="3"/>
      <c r="S855" s="3"/>
      <c r="T855" s="3"/>
      <c r="U855" s="3"/>
    </row>
    <row r="856">
      <c r="A856" s="3"/>
      <c r="B856" s="3"/>
      <c r="C856" s="3"/>
      <c r="D856" s="3"/>
      <c r="E856" s="4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4"/>
      <c r="R856" s="3"/>
      <c r="S856" s="3"/>
      <c r="T856" s="3"/>
      <c r="U856" s="3"/>
    </row>
    <row r="857">
      <c r="A857" s="3"/>
      <c r="B857" s="3"/>
      <c r="C857" s="3"/>
      <c r="D857" s="3"/>
      <c r="E857" s="4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4"/>
      <c r="R857" s="3"/>
      <c r="S857" s="3"/>
      <c r="T857" s="3"/>
      <c r="U857" s="3"/>
    </row>
    <row r="858">
      <c r="A858" s="3"/>
      <c r="B858" s="3"/>
      <c r="C858" s="3"/>
      <c r="D858" s="3"/>
      <c r="E858" s="4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4"/>
      <c r="R858" s="3"/>
      <c r="S858" s="3"/>
      <c r="T858" s="3"/>
      <c r="U858" s="3"/>
    </row>
    <row r="859">
      <c r="A859" s="3"/>
      <c r="B859" s="3"/>
      <c r="C859" s="3"/>
      <c r="D859" s="3"/>
      <c r="E859" s="4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4"/>
      <c r="R859" s="3"/>
      <c r="S859" s="3"/>
      <c r="T859" s="3"/>
      <c r="U859" s="3"/>
    </row>
    <row r="860">
      <c r="A860" s="3"/>
      <c r="B860" s="3"/>
      <c r="C860" s="3"/>
      <c r="D860" s="3"/>
      <c r="E860" s="4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4"/>
      <c r="R860" s="3"/>
      <c r="S860" s="3"/>
      <c r="T860" s="3"/>
      <c r="U860" s="3"/>
    </row>
    <row r="861">
      <c r="A861" s="3"/>
      <c r="B861" s="3"/>
      <c r="C861" s="3"/>
      <c r="D861" s="3"/>
      <c r="E861" s="4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4"/>
      <c r="R861" s="3"/>
      <c r="S861" s="3"/>
      <c r="T861" s="3"/>
      <c r="U861" s="3"/>
    </row>
    <row r="862">
      <c r="A862" s="3"/>
      <c r="B862" s="3"/>
      <c r="C862" s="3"/>
      <c r="D862" s="3"/>
      <c r="E862" s="4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4"/>
      <c r="R862" s="3"/>
      <c r="S862" s="3"/>
      <c r="T862" s="3"/>
      <c r="U862" s="3"/>
    </row>
    <row r="863">
      <c r="A863" s="3"/>
      <c r="B863" s="3"/>
      <c r="C863" s="3"/>
      <c r="D863" s="3"/>
      <c r="E863" s="4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4"/>
      <c r="R863" s="3"/>
      <c r="S863" s="3"/>
      <c r="T863" s="3"/>
      <c r="U863" s="3"/>
    </row>
    <row r="864">
      <c r="A864" s="3"/>
      <c r="B864" s="3"/>
      <c r="C864" s="3"/>
      <c r="D864" s="3"/>
      <c r="E864" s="4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4"/>
      <c r="R864" s="3"/>
      <c r="S864" s="3"/>
      <c r="T864" s="3"/>
      <c r="U864" s="3"/>
    </row>
    <row r="865">
      <c r="A865" s="3"/>
      <c r="B865" s="3"/>
      <c r="C865" s="3"/>
      <c r="D865" s="3"/>
      <c r="E865" s="4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4"/>
      <c r="R865" s="3"/>
      <c r="S865" s="3"/>
      <c r="T865" s="3"/>
      <c r="U865" s="3"/>
    </row>
    <row r="866">
      <c r="A866" s="3"/>
      <c r="B866" s="3"/>
      <c r="C866" s="3"/>
      <c r="D866" s="3"/>
      <c r="E866" s="4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4"/>
      <c r="R866" s="3"/>
      <c r="S866" s="3"/>
      <c r="T866" s="3"/>
      <c r="U866" s="3"/>
    </row>
    <row r="867">
      <c r="A867" s="3"/>
      <c r="B867" s="3"/>
      <c r="C867" s="3"/>
      <c r="D867" s="3"/>
      <c r="E867" s="4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4"/>
      <c r="R867" s="3"/>
      <c r="S867" s="3"/>
      <c r="T867" s="3"/>
      <c r="U867" s="3"/>
    </row>
    <row r="868">
      <c r="A868" s="3"/>
      <c r="B868" s="3"/>
      <c r="C868" s="3"/>
      <c r="D868" s="3"/>
      <c r="E868" s="4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4"/>
      <c r="R868" s="3"/>
      <c r="S868" s="3"/>
      <c r="T868" s="3"/>
      <c r="U868" s="3"/>
    </row>
    <row r="869">
      <c r="A869" s="3"/>
      <c r="B869" s="3"/>
      <c r="C869" s="3"/>
      <c r="D869" s="3"/>
      <c r="E869" s="4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4"/>
      <c r="R869" s="3"/>
      <c r="S869" s="3"/>
      <c r="T869" s="3"/>
      <c r="U869" s="3"/>
    </row>
    <row r="870">
      <c r="A870" s="3"/>
      <c r="B870" s="3"/>
      <c r="C870" s="3"/>
      <c r="D870" s="3"/>
      <c r="E870" s="4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4"/>
      <c r="R870" s="3"/>
      <c r="S870" s="3"/>
      <c r="T870" s="3"/>
      <c r="U870" s="3"/>
    </row>
    <row r="871">
      <c r="A871" s="3"/>
      <c r="B871" s="3"/>
      <c r="C871" s="3"/>
      <c r="D871" s="3"/>
      <c r="E871" s="4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4"/>
      <c r="R871" s="3"/>
      <c r="S871" s="3"/>
      <c r="T871" s="3"/>
      <c r="U871" s="3"/>
    </row>
    <row r="872">
      <c r="A872" s="3"/>
      <c r="B872" s="3"/>
      <c r="C872" s="3"/>
      <c r="D872" s="3"/>
      <c r="E872" s="4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4"/>
      <c r="R872" s="3"/>
      <c r="S872" s="3"/>
      <c r="T872" s="3"/>
      <c r="U872" s="3"/>
    </row>
    <row r="873">
      <c r="A873" s="3"/>
      <c r="B873" s="3"/>
      <c r="C873" s="3"/>
      <c r="D873" s="3"/>
      <c r="E873" s="4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4"/>
      <c r="R873" s="3"/>
      <c r="S873" s="3"/>
      <c r="T873" s="3"/>
      <c r="U873" s="3"/>
    </row>
    <row r="874">
      <c r="A874" s="3"/>
      <c r="B874" s="3"/>
      <c r="C874" s="3"/>
      <c r="D874" s="3"/>
      <c r="E874" s="4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4"/>
      <c r="R874" s="3"/>
      <c r="S874" s="3"/>
      <c r="T874" s="3"/>
      <c r="U874" s="3"/>
    </row>
    <row r="875">
      <c r="A875" s="3"/>
      <c r="B875" s="3"/>
      <c r="C875" s="3"/>
      <c r="D875" s="3"/>
      <c r="E875" s="4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4"/>
      <c r="R875" s="3"/>
      <c r="S875" s="3"/>
      <c r="T875" s="3"/>
      <c r="U875" s="3"/>
    </row>
    <row r="876">
      <c r="A876" s="3"/>
      <c r="B876" s="3"/>
      <c r="C876" s="3"/>
      <c r="D876" s="3"/>
      <c r="E876" s="4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4"/>
      <c r="R876" s="3"/>
      <c r="S876" s="3"/>
      <c r="T876" s="3"/>
      <c r="U876" s="3"/>
    </row>
    <row r="877">
      <c r="A877" s="3"/>
      <c r="B877" s="3"/>
      <c r="C877" s="3"/>
      <c r="D877" s="3"/>
      <c r="E877" s="4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4"/>
      <c r="R877" s="3"/>
      <c r="S877" s="3"/>
      <c r="T877" s="3"/>
      <c r="U877" s="3"/>
    </row>
    <row r="878">
      <c r="A878" s="3"/>
      <c r="B878" s="3"/>
      <c r="C878" s="3"/>
      <c r="D878" s="3"/>
      <c r="E878" s="4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4"/>
      <c r="R878" s="3"/>
      <c r="S878" s="3"/>
      <c r="T878" s="3"/>
      <c r="U878" s="3"/>
    </row>
    <row r="879">
      <c r="A879" s="3"/>
      <c r="B879" s="3"/>
      <c r="C879" s="3"/>
      <c r="D879" s="3"/>
      <c r="E879" s="4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4"/>
      <c r="R879" s="3"/>
      <c r="S879" s="3"/>
      <c r="T879" s="3"/>
      <c r="U879" s="3"/>
    </row>
    <row r="880">
      <c r="A880" s="3"/>
      <c r="B880" s="3"/>
      <c r="C880" s="3"/>
      <c r="D880" s="3"/>
      <c r="E880" s="4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4"/>
      <c r="R880" s="3"/>
      <c r="S880" s="3"/>
      <c r="T880" s="3"/>
      <c r="U880" s="3"/>
    </row>
    <row r="881">
      <c r="A881" s="3"/>
      <c r="B881" s="3"/>
      <c r="C881" s="3"/>
      <c r="D881" s="3"/>
      <c r="E881" s="4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4"/>
      <c r="R881" s="3"/>
      <c r="S881" s="3"/>
      <c r="T881" s="3"/>
      <c r="U881" s="3"/>
    </row>
    <row r="882">
      <c r="A882" s="3"/>
      <c r="B882" s="3"/>
      <c r="C882" s="3"/>
      <c r="D882" s="3"/>
      <c r="E882" s="4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4"/>
      <c r="R882" s="3"/>
      <c r="S882" s="3"/>
      <c r="T882" s="3"/>
      <c r="U882" s="3"/>
    </row>
    <row r="883">
      <c r="A883" s="3"/>
      <c r="B883" s="3"/>
      <c r="C883" s="3"/>
      <c r="D883" s="3"/>
      <c r="E883" s="4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4"/>
      <c r="R883" s="3"/>
      <c r="S883" s="3"/>
      <c r="T883" s="3"/>
      <c r="U883" s="3"/>
    </row>
    <row r="884">
      <c r="A884" s="3"/>
      <c r="B884" s="3"/>
      <c r="C884" s="3"/>
      <c r="D884" s="3"/>
      <c r="E884" s="4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4"/>
      <c r="R884" s="3"/>
      <c r="S884" s="3"/>
      <c r="T884" s="3"/>
      <c r="U884" s="3"/>
    </row>
    <row r="885">
      <c r="A885" s="3"/>
      <c r="B885" s="3"/>
      <c r="C885" s="3"/>
      <c r="D885" s="3"/>
      <c r="E885" s="4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4"/>
      <c r="R885" s="3"/>
      <c r="S885" s="3"/>
      <c r="T885" s="3"/>
      <c r="U885" s="3"/>
    </row>
    <row r="886">
      <c r="A886" s="3"/>
      <c r="B886" s="3"/>
      <c r="C886" s="3"/>
      <c r="D886" s="3"/>
      <c r="E886" s="4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4"/>
      <c r="R886" s="3"/>
      <c r="S886" s="3"/>
      <c r="T886" s="3"/>
      <c r="U886" s="3"/>
    </row>
    <row r="887">
      <c r="A887" s="3"/>
      <c r="B887" s="3"/>
      <c r="C887" s="3"/>
      <c r="D887" s="3"/>
      <c r="E887" s="4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4"/>
      <c r="R887" s="3"/>
      <c r="S887" s="3"/>
      <c r="T887" s="3"/>
      <c r="U887" s="3"/>
    </row>
    <row r="888">
      <c r="A888" s="3"/>
      <c r="B888" s="3"/>
      <c r="C888" s="3"/>
      <c r="D888" s="3"/>
      <c r="E888" s="4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4"/>
      <c r="R888" s="3"/>
      <c r="S888" s="3"/>
      <c r="T888" s="3"/>
      <c r="U888" s="3"/>
    </row>
    <row r="889">
      <c r="A889" s="3"/>
      <c r="B889" s="3"/>
      <c r="C889" s="3"/>
      <c r="D889" s="3"/>
      <c r="E889" s="4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4"/>
      <c r="R889" s="3"/>
      <c r="S889" s="3"/>
      <c r="T889" s="3"/>
      <c r="U889" s="3"/>
    </row>
    <row r="890">
      <c r="A890" s="3"/>
      <c r="B890" s="3"/>
      <c r="C890" s="3"/>
      <c r="D890" s="3"/>
      <c r="E890" s="4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4"/>
      <c r="R890" s="3"/>
      <c r="S890" s="3"/>
      <c r="T890" s="3"/>
      <c r="U890" s="3"/>
    </row>
    <row r="891">
      <c r="A891" s="3"/>
      <c r="B891" s="3"/>
      <c r="C891" s="3"/>
      <c r="D891" s="3"/>
      <c r="E891" s="4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4"/>
      <c r="R891" s="3"/>
      <c r="S891" s="3"/>
      <c r="T891" s="3"/>
      <c r="U891" s="3"/>
    </row>
    <row r="892">
      <c r="A892" s="3"/>
      <c r="B892" s="3"/>
      <c r="C892" s="3"/>
      <c r="D892" s="3"/>
      <c r="E892" s="4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4"/>
      <c r="R892" s="3"/>
      <c r="S892" s="3"/>
      <c r="T892" s="3"/>
      <c r="U892" s="3"/>
    </row>
    <row r="893">
      <c r="A893" s="3"/>
      <c r="B893" s="3"/>
      <c r="C893" s="3"/>
      <c r="D893" s="3"/>
      <c r="E893" s="4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4"/>
      <c r="R893" s="3"/>
      <c r="S893" s="3"/>
      <c r="T893" s="3"/>
      <c r="U893" s="3"/>
    </row>
    <row r="894">
      <c r="A894" s="3"/>
      <c r="B894" s="3"/>
      <c r="C894" s="3"/>
      <c r="D894" s="3"/>
      <c r="E894" s="4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4"/>
      <c r="R894" s="3"/>
      <c r="S894" s="3"/>
      <c r="T894" s="3"/>
      <c r="U894" s="3"/>
    </row>
    <row r="895">
      <c r="A895" s="3"/>
      <c r="B895" s="3"/>
      <c r="C895" s="3"/>
      <c r="D895" s="3"/>
      <c r="E895" s="4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4"/>
      <c r="R895" s="3"/>
      <c r="S895" s="3"/>
      <c r="T895" s="3"/>
      <c r="U895" s="3"/>
    </row>
    <row r="896">
      <c r="A896" s="3"/>
      <c r="B896" s="3"/>
      <c r="C896" s="3"/>
      <c r="D896" s="3"/>
      <c r="E896" s="4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4"/>
      <c r="R896" s="3"/>
      <c r="S896" s="3"/>
      <c r="T896" s="3"/>
      <c r="U896" s="3"/>
    </row>
    <row r="897">
      <c r="A897" s="3"/>
      <c r="B897" s="3"/>
      <c r="C897" s="3"/>
      <c r="D897" s="3"/>
      <c r="E897" s="4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4"/>
      <c r="R897" s="3"/>
      <c r="S897" s="3"/>
      <c r="T897" s="3"/>
      <c r="U897" s="3"/>
    </row>
    <row r="898">
      <c r="A898" s="3"/>
      <c r="B898" s="3"/>
      <c r="C898" s="3"/>
      <c r="D898" s="3"/>
      <c r="E898" s="4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4"/>
      <c r="R898" s="3"/>
      <c r="S898" s="3"/>
      <c r="T898" s="3"/>
      <c r="U898" s="3"/>
    </row>
    <row r="899">
      <c r="A899" s="3"/>
      <c r="B899" s="3"/>
      <c r="C899" s="3"/>
      <c r="D899" s="3"/>
      <c r="E899" s="4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4"/>
      <c r="R899" s="3"/>
      <c r="S899" s="3"/>
      <c r="T899" s="3"/>
      <c r="U899" s="3"/>
    </row>
    <row r="900">
      <c r="A900" s="3"/>
      <c r="B900" s="3"/>
      <c r="C900" s="3"/>
      <c r="D900" s="3"/>
      <c r="E900" s="4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4"/>
      <c r="R900" s="3"/>
      <c r="S900" s="3"/>
      <c r="T900" s="3"/>
      <c r="U900" s="3"/>
    </row>
    <row r="901">
      <c r="A901" s="3"/>
      <c r="B901" s="3"/>
      <c r="C901" s="3"/>
      <c r="D901" s="3"/>
      <c r="E901" s="4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4"/>
      <c r="R901" s="3"/>
      <c r="S901" s="3"/>
      <c r="T901" s="3"/>
      <c r="U901" s="3"/>
    </row>
    <row r="902">
      <c r="A902" s="3"/>
      <c r="B902" s="3"/>
      <c r="C902" s="3"/>
      <c r="D902" s="3"/>
      <c r="E902" s="4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4"/>
      <c r="R902" s="3"/>
      <c r="S902" s="3"/>
      <c r="T902" s="3"/>
      <c r="U902" s="3"/>
    </row>
    <row r="903">
      <c r="A903" s="3"/>
      <c r="B903" s="3"/>
      <c r="C903" s="3"/>
      <c r="D903" s="3"/>
      <c r="E903" s="4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4"/>
      <c r="R903" s="3"/>
      <c r="S903" s="3"/>
      <c r="T903" s="3"/>
      <c r="U903" s="3"/>
    </row>
    <row r="904">
      <c r="A904" s="3"/>
      <c r="B904" s="3"/>
      <c r="C904" s="3"/>
      <c r="D904" s="3"/>
      <c r="E904" s="4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4"/>
      <c r="R904" s="3"/>
      <c r="S904" s="3"/>
      <c r="T904" s="3"/>
      <c r="U904" s="3"/>
    </row>
    <row r="905">
      <c r="A905" s="3"/>
      <c r="B905" s="3"/>
      <c r="C905" s="3"/>
      <c r="D905" s="3"/>
      <c r="E905" s="4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4"/>
      <c r="R905" s="3"/>
      <c r="S905" s="3"/>
      <c r="T905" s="3"/>
      <c r="U905" s="3"/>
    </row>
    <row r="906">
      <c r="A906" s="3"/>
      <c r="B906" s="3"/>
      <c r="C906" s="3"/>
      <c r="D906" s="3"/>
      <c r="E906" s="4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4"/>
      <c r="R906" s="3"/>
      <c r="S906" s="3"/>
      <c r="T906" s="3"/>
      <c r="U906" s="3"/>
    </row>
    <row r="907">
      <c r="A907" s="3"/>
      <c r="B907" s="3"/>
      <c r="C907" s="3"/>
      <c r="D907" s="3"/>
      <c r="E907" s="4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4"/>
      <c r="R907" s="3"/>
      <c r="S907" s="3"/>
      <c r="T907" s="3"/>
      <c r="U907" s="3"/>
    </row>
    <row r="908">
      <c r="A908" s="3"/>
      <c r="B908" s="3"/>
      <c r="C908" s="3"/>
      <c r="D908" s="3"/>
      <c r="E908" s="4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4"/>
      <c r="R908" s="3"/>
      <c r="S908" s="3"/>
      <c r="T908" s="3"/>
      <c r="U908" s="3"/>
    </row>
    <row r="909">
      <c r="A909" s="3"/>
      <c r="B909" s="3"/>
      <c r="C909" s="3"/>
      <c r="D909" s="3"/>
      <c r="E909" s="4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4"/>
      <c r="R909" s="3"/>
      <c r="S909" s="3"/>
      <c r="T909" s="3"/>
      <c r="U909" s="3"/>
    </row>
    <row r="910">
      <c r="A910" s="3"/>
      <c r="B910" s="3"/>
      <c r="C910" s="3"/>
      <c r="D910" s="3"/>
      <c r="E910" s="4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4"/>
      <c r="R910" s="3"/>
      <c r="S910" s="3"/>
      <c r="T910" s="3"/>
      <c r="U910" s="3"/>
    </row>
    <row r="911">
      <c r="A911" s="3"/>
      <c r="B911" s="3"/>
      <c r="C911" s="3"/>
      <c r="D911" s="3"/>
      <c r="E911" s="4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4"/>
      <c r="R911" s="3"/>
      <c r="S911" s="3"/>
      <c r="T911" s="3"/>
      <c r="U911" s="3"/>
    </row>
    <row r="912">
      <c r="A912" s="3"/>
      <c r="B912" s="3"/>
      <c r="C912" s="3"/>
      <c r="D912" s="3"/>
      <c r="E912" s="4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4"/>
      <c r="R912" s="3"/>
      <c r="S912" s="3"/>
      <c r="T912" s="3"/>
      <c r="U912" s="3"/>
    </row>
    <row r="913">
      <c r="A913" s="3"/>
      <c r="B913" s="3"/>
      <c r="C913" s="3"/>
      <c r="D913" s="3"/>
      <c r="E913" s="4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4"/>
      <c r="R913" s="3"/>
      <c r="S913" s="3"/>
      <c r="T913" s="3"/>
      <c r="U913" s="3"/>
    </row>
    <row r="914">
      <c r="A914" s="3"/>
      <c r="B914" s="3"/>
      <c r="C914" s="3"/>
      <c r="D914" s="3"/>
      <c r="E914" s="4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4"/>
      <c r="R914" s="3"/>
      <c r="S914" s="3"/>
      <c r="T914" s="3"/>
      <c r="U914" s="3"/>
    </row>
    <row r="915">
      <c r="A915" s="3"/>
      <c r="B915" s="3"/>
      <c r="C915" s="3"/>
      <c r="D915" s="3"/>
      <c r="E915" s="4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4"/>
      <c r="R915" s="3"/>
      <c r="S915" s="3"/>
      <c r="T915" s="3"/>
      <c r="U915" s="3"/>
    </row>
    <row r="916">
      <c r="A916" s="3"/>
      <c r="B916" s="3"/>
      <c r="C916" s="3"/>
      <c r="D916" s="3"/>
      <c r="E916" s="4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4"/>
      <c r="R916" s="3"/>
      <c r="S916" s="3"/>
      <c r="T916" s="3"/>
      <c r="U916" s="3"/>
    </row>
    <row r="917">
      <c r="A917" s="3"/>
      <c r="B917" s="3"/>
      <c r="C917" s="3"/>
      <c r="D917" s="3"/>
      <c r="E917" s="4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4"/>
      <c r="R917" s="3"/>
      <c r="S917" s="3"/>
      <c r="T917" s="3"/>
      <c r="U917" s="3"/>
    </row>
    <row r="918">
      <c r="A918" s="3"/>
      <c r="B918" s="3"/>
      <c r="C918" s="3"/>
      <c r="D918" s="3"/>
      <c r="E918" s="4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4"/>
      <c r="R918" s="3"/>
      <c r="S918" s="3"/>
      <c r="T918" s="3"/>
      <c r="U918" s="3"/>
    </row>
    <row r="919">
      <c r="A919" s="3"/>
      <c r="B919" s="3"/>
      <c r="C919" s="3"/>
      <c r="D919" s="3"/>
      <c r="E919" s="4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4"/>
      <c r="R919" s="3"/>
      <c r="S919" s="3"/>
      <c r="T919" s="3"/>
      <c r="U919" s="3"/>
    </row>
    <row r="920">
      <c r="A920" s="3"/>
      <c r="B920" s="3"/>
      <c r="C920" s="3"/>
      <c r="D920" s="3"/>
      <c r="E920" s="4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4"/>
      <c r="R920" s="3"/>
      <c r="S920" s="3"/>
      <c r="T920" s="3"/>
      <c r="U920" s="3"/>
    </row>
    <row r="921">
      <c r="A921" s="3"/>
      <c r="B921" s="3"/>
      <c r="C921" s="3"/>
      <c r="D921" s="3"/>
      <c r="E921" s="4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4"/>
      <c r="R921" s="3"/>
      <c r="S921" s="3"/>
      <c r="T921" s="3"/>
      <c r="U921" s="3"/>
    </row>
    <row r="922">
      <c r="A922" s="3"/>
      <c r="B922" s="3"/>
      <c r="C922" s="3"/>
      <c r="D922" s="3"/>
      <c r="E922" s="4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4"/>
      <c r="R922" s="3"/>
      <c r="S922" s="3"/>
      <c r="T922" s="3"/>
      <c r="U922" s="3"/>
    </row>
    <row r="923">
      <c r="A923" s="3"/>
      <c r="B923" s="3"/>
      <c r="C923" s="3"/>
      <c r="D923" s="3"/>
      <c r="E923" s="4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4"/>
      <c r="R923" s="3"/>
      <c r="S923" s="3"/>
      <c r="T923" s="3"/>
      <c r="U923" s="3"/>
    </row>
    <row r="924">
      <c r="A924" s="3"/>
      <c r="B924" s="3"/>
      <c r="C924" s="3"/>
      <c r="D924" s="3"/>
      <c r="E924" s="4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4"/>
      <c r="R924" s="3"/>
      <c r="S924" s="3"/>
      <c r="T924" s="3"/>
      <c r="U924" s="3"/>
    </row>
    <row r="925">
      <c r="A925" s="3"/>
      <c r="B925" s="3"/>
      <c r="C925" s="3"/>
      <c r="D925" s="3"/>
      <c r="E925" s="4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4"/>
      <c r="R925" s="3"/>
      <c r="S925" s="3"/>
      <c r="T925" s="3"/>
      <c r="U925" s="3"/>
    </row>
    <row r="926">
      <c r="A926" s="3"/>
      <c r="B926" s="3"/>
      <c r="C926" s="3"/>
      <c r="D926" s="3"/>
      <c r="E926" s="4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4"/>
      <c r="R926" s="3"/>
      <c r="S926" s="3"/>
      <c r="T926" s="3"/>
      <c r="U926" s="3"/>
    </row>
    <row r="927">
      <c r="A927" s="3"/>
      <c r="B927" s="3"/>
      <c r="C927" s="3"/>
      <c r="D927" s="3"/>
      <c r="E927" s="4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4"/>
      <c r="R927" s="3"/>
      <c r="S927" s="3"/>
      <c r="T927" s="3"/>
      <c r="U927" s="3"/>
    </row>
    <row r="928">
      <c r="A928" s="3"/>
      <c r="B928" s="3"/>
      <c r="C928" s="3"/>
      <c r="D928" s="3"/>
      <c r="E928" s="4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4"/>
      <c r="R928" s="3"/>
      <c r="S928" s="3"/>
      <c r="T928" s="3"/>
      <c r="U928" s="3"/>
    </row>
    <row r="929">
      <c r="A929" s="3"/>
      <c r="B929" s="3"/>
      <c r="C929" s="3"/>
      <c r="D929" s="3"/>
      <c r="E929" s="4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4"/>
      <c r="R929" s="3"/>
      <c r="S929" s="3"/>
      <c r="T929" s="3"/>
      <c r="U929" s="3"/>
    </row>
    <row r="930">
      <c r="A930" s="3"/>
      <c r="B930" s="3"/>
      <c r="C930" s="3"/>
      <c r="D930" s="3"/>
      <c r="E930" s="4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4"/>
      <c r="R930" s="3"/>
      <c r="S930" s="3"/>
      <c r="T930" s="3"/>
      <c r="U930" s="3"/>
    </row>
    <row r="931">
      <c r="A931" s="3"/>
      <c r="B931" s="3"/>
      <c r="C931" s="3"/>
      <c r="D931" s="3"/>
      <c r="E931" s="4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4"/>
      <c r="R931" s="3"/>
      <c r="S931" s="3"/>
      <c r="T931" s="3"/>
      <c r="U931" s="3"/>
    </row>
    <row r="932">
      <c r="A932" s="3"/>
      <c r="B932" s="3"/>
      <c r="C932" s="3"/>
      <c r="D932" s="3"/>
      <c r="E932" s="4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4"/>
      <c r="R932" s="3"/>
      <c r="S932" s="3"/>
      <c r="T932" s="3"/>
      <c r="U932" s="3"/>
    </row>
    <row r="933">
      <c r="A933" s="3"/>
      <c r="B933" s="3"/>
      <c r="C933" s="3"/>
      <c r="D933" s="3"/>
      <c r="E933" s="4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4"/>
      <c r="R933" s="3"/>
      <c r="S933" s="3"/>
      <c r="T933" s="3"/>
      <c r="U933" s="3"/>
    </row>
    <row r="934">
      <c r="A934" s="3"/>
      <c r="B934" s="3"/>
      <c r="C934" s="3"/>
      <c r="D934" s="3"/>
      <c r="E934" s="4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4"/>
      <c r="R934" s="3"/>
      <c r="S934" s="3"/>
      <c r="T934" s="3"/>
      <c r="U934" s="3"/>
    </row>
    <row r="935">
      <c r="A935" s="3"/>
      <c r="B935" s="3"/>
      <c r="C935" s="3"/>
      <c r="D935" s="3"/>
      <c r="E935" s="4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4"/>
      <c r="R935" s="3"/>
      <c r="S935" s="3"/>
      <c r="T935" s="3"/>
      <c r="U935" s="3"/>
    </row>
    <row r="936">
      <c r="A936" s="3"/>
      <c r="B936" s="3"/>
      <c r="C936" s="3"/>
      <c r="D936" s="3"/>
      <c r="E936" s="4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4"/>
      <c r="R936" s="3"/>
      <c r="S936" s="3"/>
      <c r="T936" s="3"/>
      <c r="U936" s="3"/>
    </row>
    <row r="937">
      <c r="A937" s="3"/>
      <c r="B937" s="3"/>
      <c r="C937" s="3"/>
      <c r="D937" s="3"/>
      <c r="E937" s="4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4"/>
      <c r="R937" s="3"/>
      <c r="S937" s="3"/>
      <c r="T937" s="3"/>
      <c r="U937" s="3"/>
    </row>
    <row r="938">
      <c r="A938" s="3"/>
      <c r="B938" s="3"/>
      <c r="C938" s="3"/>
      <c r="D938" s="3"/>
      <c r="E938" s="4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4"/>
      <c r="R938" s="3"/>
      <c r="S938" s="3"/>
      <c r="T938" s="3"/>
      <c r="U938" s="3"/>
    </row>
    <row r="939">
      <c r="A939" s="3"/>
      <c r="B939" s="3"/>
      <c r="C939" s="3"/>
      <c r="D939" s="3"/>
      <c r="E939" s="4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4"/>
      <c r="R939" s="3"/>
      <c r="S939" s="3"/>
      <c r="T939" s="3"/>
      <c r="U939" s="3"/>
    </row>
    <row r="940">
      <c r="A940" s="3"/>
      <c r="B940" s="3"/>
      <c r="C940" s="3"/>
      <c r="D940" s="3"/>
      <c r="E940" s="4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4"/>
      <c r="R940" s="3"/>
      <c r="S940" s="3"/>
      <c r="T940" s="3"/>
      <c r="U940" s="3"/>
    </row>
    <row r="941">
      <c r="A941" s="3"/>
      <c r="B941" s="3"/>
      <c r="C941" s="3"/>
      <c r="D941" s="3"/>
      <c r="E941" s="4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4"/>
      <c r="R941" s="3"/>
      <c r="S941" s="3"/>
      <c r="T941" s="3"/>
      <c r="U941" s="3"/>
    </row>
    <row r="942">
      <c r="A942" s="3"/>
      <c r="B942" s="3"/>
      <c r="C942" s="3"/>
      <c r="D942" s="3"/>
      <c r="E942" s="4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4"/>
      <c r="R942" s="3"/>
      <c r="S942" s="3"/>
      <c r="T942" s="3"/>
      <c r="U942" s="3"/>
    </row>
    <row r="943">
      <c r="A943" s="3"/>
      <c r="B943" s="3"/>
      <c r="C943" s="3"/>
      <c r="D943" s="3"/>
      <c r="E943" s="4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4"/>
      <c r="R943" s="3"/>
      <c r="S943" s="3"/>
      <c r="T943" s="3"/>
      <c r="U943" s="3"/>
    </row>
    <row r="944">
      <c r="A944" s="3"/>
      <c r="B944" s="3"/>
      <c r="C944" s="3"/>
      <c r="D944" s="3"/>
      <c r="E944" s="4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4"/>
      <c r="R944" s="3"/>
      <c r="S944" s="3"/>
      <c r="T944" s="3"/>
      <c r="U944" s="3"/>
    </row>
    <row r="945">
      <c r="A945" s="3"/>
      <c r="B945" s="3"/>
      <c r="C945" s="3"/>
      <c r="D945" s="3"/>
      <c r="E945" s="4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4"/>
      <c r="R945" s="3"/>
      <c r="S945" s="3"/>
      <c r="T945" s="3"/>
      <c r="U945" s="3"/>
    </row>
    <row r="946">
      <c r="A946" s="3"/>
      <c r="B946" s="3"/>
      <c r="C946" s="3"/>
      <c r="D946" s="3"/>
      <c r="E946" s="4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4"/>
      <c r="R946" s="3"/>
      <c r="S946" s="3"/>
      <c r="T946" s="3"/>
      <c r="U946" s="3"/>
    </row>
    <row r="947">
      <c r="A947" s="3"/>
      <c r="B947" s="3"/>
      <c r="C947" s="3"/>
      <c r="D947" s="3"/>
      <c r="E947" s="4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4"/>
      <c r="R947" s="3"/>
      <c r="S947" s="3"/>
      <c r="T947" s="3"/>
      <c r="U947" s="3"/>
    </row>
    <row r="948">
      <c r="A948" s="3"/>
      <c r="B948" s="3"/>
      <c r="C948" s="3"/>
      <c r="D948" s="3"/>
      <c r="E948" s="4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4"/>
      <c r="R948" s="3"/>
      <c r="S948" s="3"/>
      <c r="T948" s="3"/>
      <c r="U948" s="3"/>
    </row>
    <row r="949">
      <c r="A949" s="3"/>
      <c r="B949" s="3"/>
      <c r="C949" s="3"/>
      <c r="D949" s="3"/>
      <c r="E949" s="4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4"/>
      <c r="R949" s="3"/>
      <c r="S949" s="3"/>
      <c r="T949" s="3"/>
      <c r="U949" s="3"/>
    </row>
    <row r="950">
      <c r="A950" s="3"/>
      <c r="B950" s="3"/>
      <c r="C950" s="3"/>
      <c r="D950" s="3"/>
      <c r="E950" s="4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4"/>
      <c r="R950" s="3"/>
      <c r="S950" s="3"/>
      <c r="T950" s="3"/>
      <c r="U950" s="3"/>
    </row>
    <row r="951">
      <c r="A951" s="3"/>
      <c r="B951" s="3"/>
      <c r="C951" s="3"/>
      <c r="D951" s="3"/>
      <c r="E951" s="4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4"/>
      <c r="R951" s="3"/>
      <c r="S951" s="3"/>
      <c r="T951" s="3"/>
      <c r="U951" s="3"/>
    </row>
    <row r="952">
      <c r="A952" s="3"/>
      <c r="B952" s="3"/>
      <c r="C952" s="3"/>
      <c r="D952" s="3"/>
      <c r="E952" s="4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4"/>
      <c r="R952" s="3"/>
      <c r="S952" s="3"/>
      <c r="T952" s="3"/>
      <c r="U952" s="3"/>
    </row>
    <row r="953">
      <c r="A953" s="3"/>
      <c r="B953" s="3"/>
      <c r="C953" s="3"/>
      <c r="D953" s="3"/>
      <c r="E953" s="4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4"/>
      <c r="R953" s="3"/>
      <c r="S953" s="3"/>
      <c r="T953" s="3"/>
      <c r="U953" s="3"/>
    </row>
    <row r="954">
      <c r="A954" s="3"/>
      <c r="B954" s="3"/>
      <c r="C954" s="3"/>
      <c r="D954" s="3"/>
      <c r="E954" s="4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4"/>
      <c r="R954" s="3"/>
      <c r="S954" s="3"/>
      <c r="T954" s="3"/>
      <c r="U954" s="3"/>
    </row>
    <row r="955">
      <c r="A955" s="3"/>
      <c r="B955" s="3"/>
      <c r="C955" s="3"/>
      <c r="D955" s="3"/>
      <c r="E955" s="4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4"/>
      <c r="R955" s="3"/>
      <c r="S955" s="3"/>
      <c r="T955" s="3"/>
      <c r="U955" s="3"/>
    </row>
    <row r="956">
      <c r="A956" s="3"/>
      <c r="B956" s="3"/>
      <c r="C956" s="3"/>
      <c r="D956" s="3"/>
      <c r="E956" s="4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4"/>
      <c r="R956" s="3"/>
      <c r="S956" s="3"/>
      <c r="T956" s="3"/>
      <c r="U956" s="3"/>
    </row>
    <row r="957">
      <c r="A957" s="3"/>
      <c r="B957" s="3"/>
      <c r="C957" s="3"/>
      <c r="D957" s="3"/>
      <c r="E957" s="4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4"/>
      <c r="R957" s="3"/>
      <c r="S957" s="3"/>
      <c r="T957" s="3"/>
      <c r="U957" s="3"/>
    </row>
    <row r="958">
      <c r="A958" s="3"/>
      <c r="B958" s="3"/>
      <c r="C958" s="3"/>
      <c r="D958" s="3"/>
      <c r="E958" s="4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4"/>
      <c r="R958" s="3"/>
      <c r="S958" s="3"/>
      <c r="T958" s="3"/>
      <c r="U958" s="3"/>
    </row>
    <row r="959">
      <c r="A959" s="3"/>
      <c r="B959" s="3"/>
      <c r="C959" s="3"/>
      <c r="D959" s="3"/>
      <c r="E959" s="4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4"/>
      <c r="R959" s="3"/>
      <c r="S959" s="3"/>
      <c r="T959" s="3"/>
      <c r="U959" s="3"/>
    </row>
    <row r="960">
      <c r="A960" s="3"/>
      <c r="B960" s="3"/>
      <c r="C960" s="3"/>
      <c r="D960" s="3"/>
      <c r="E960" s="4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4"/>
      <c r="R960" s="3"/>
      <c r="S960" s="3"/>
      <c r="T960" s="3"/>
      <c r="U960" s="3"/>
    </row>
    <row r="961">
      <c r="A961" s="3"/>
      <c r="B961" s="3"/>
      <c r="C961" s="3"/>
      <c r="D961" s="3"/>
      <c r="E961" s="4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4"/>
      <c r="R961" s="3"/>
      <c r="S961" s="3"/>
      <c r="T961" s="3"/>
      <c r="U961" s="3"/>
    </row>
    <row r="962">
      <c r="A962" s="3"/>
      <c r="B962" s="3"/>
      <c r="C962" s="3"/>
      <c r="D962" s="3"/>
      <c r="E962" s="4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4"/>
      <c r="R962" s="3"/>
      <c r="S962" s="3"/>
      <c r="T962" s="3"/>
      <c r="U962" s="3"/>
    </row>
    <row r="963">
      <c r="A963" s="3"/>
      <c r="B963" s="3"/>
      <c r="C963" s="3"/>
      <c r="D963" s="3"/>
      <c r="E963" s="4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4"/>
      <c r="R963" s="3"/>
      <c r="S963" s="3"/>
      <c r="T963" s="3"/>
      <c r="U963" s="3"/>
    </row>
    <row r="964">
      <c r="A964" s="3"/>
      <c r="B964" s="3"/>
      <c r="C964" s="3"/>
      <c r="D964" s="3"/>
      <c r="E964" s="4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4"/>
      <c r="R964" s="3"/>
      <c r="S964" s="3"/>
      <c r="T964" s="3"/>
      <c r="U964" s="3"/>
    </row>
    <row r="965">
      <c r="A965" s="3"/>
      <c r="B965" s="3"/>
      <c r="C965" s="3"/>
      <c r="D965" s="3"/>
      <c r="E965" s="4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4"/>
      <c r="R965" s="3"/>
      <c r="S965" s="3"/>
      <c r="T965" s="3"/>
      <c r="U965" s="3"/>
    </row>
    <row r="966">
      <c r="A966" s="3"/>
      <c r="B966" s="3"/>
      <c r="C966" s="3"/>
      <c r="D966" s="3"/>
      <c r="E966" s="4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4"/>
      <c r="R966" s="3"/>
      <c r="S966" s="3"/>
      <c r="T966" s="3"/>
      <c r="U966" s="3"/>
    </row>
    <row r="967">
      <c r="A967" s="3"/>
      <c r="B967" s="3"/>
      <c r="C967" s="3"/>
      <c r="D967" s="3"/>
      <c r="E967" s="4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4"/>
      <c r="R967" s="3"/>
      <c r="S967" s="3"/>
      <c r="T967" s="3"/>
      <c r="U967" s="3"/>
    </row>
    <row r="968">
      <c r="A968" s="3"/>
      <c r="B968" s="3"/>
      <c r="C968" s="3"/>
      <c r="D968" s="3"/>
      <c r="E968" s="4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4"/>
      <c r="R968" s="3"/>
      <c r="S968" s="3"/>
      <c r="T968" s="3"/>
      <c r="U968" s="3"/>
    </row>
    <row r="969">
      <c r="A969" s="3"/>
      <c r="B969" s="3"/>
      <c r="C969" s="3"/>
      <c r="D969" s="3"/>
      <c r="E969" s="4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4"/>
      <c r="R969" s="3"/>
      <c r="S969" s="3"/>
      <c r="T969" s="3"/>
      <c r="U969" s="3"/>
    </row>
    <row r="970">
      <c r="A970" s="3"/>
      <c r="B970" s="3"/>
      <c r="C970" s="3"/>
      <c r="D970" s="3"/>
      <c r="E970" s="4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4"/>
      <c r="R970" s="3"/>
      <c r="S970" s="3"/>
      <c r="T970" s="3"/>
      <c r="U970" s="3"/>
    </row>
    <row r="971">
      <c r="A971" s="3"/>
      <c r="B971" s="3"/>
      <c r="C971" s="3"/>
      <c r="D971" s="3"/>
      <c r="E971" s="4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4"/>
      <c r="R971" s="3"/>
      <c r="S971" s="3"/>
      <c r="T971" s="3"/>
      <c r="U971" s="3"/>
    </row>
    <row r="972">
      <c r="A972" s="3"/>
      <c r="B972" s="3"/>
      <c r="C972" s="3"/>
      <c r="D972" s="3"/>
      <c r="E972" s="4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4"/>
      <c r="R972" s="3"/>
      <c r="S972" s="3"/>
      <c r="T972" s="3"/>
      <c r="U972" s="3"/>
    </row>
    <row r="973">
      <c r="A973" s="3"/>
      <c r="B973" s="3"/>
      <c r="C973" s="3"/>
      <c r="D973" s="3"/>
      <c r="E973" s="4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4"/>
      <c r="R973" s="3"/>
      <c r="S973" s="3"/>
      <c r="T973" s="3"/>
      <c r="U973" s="3"/>
    </row>
    <row r="974">
      <c r="A974" s="3"/>
      <c r="B974" s="3"/>
      <c r="C974" s="3"/>
      <c r="D974" s="3"/>
      <c r="E974" s="4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4"/>
      <c r="R974" s="3"/>
      <c r="S974" s="3"/>
      <c r="T974" s="3"/>
      <c r="U974" s="3"/>
    </row>
    <row r="975">
      <c r="A975" s="3"/>
      <c r="B975" s="3"/>
      <c r="C975" s="3"/>
      <c r="D975" s="3"/>
      <c r="E975" s="4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4"/>
      <c r="R975" s="3"/>
      <c r="S975" s="3"/>
      <c r="T975" s="3"/>
      <c r="U975" s="3"/>
    </row>
    <row r="976">
      <c r="A976" s="3"/>
      <c r="B976" s="3"/>
      <c r="C976" s="3"/>
      <c r="D976" s="3"/>
      <c r="E976" s="4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4"/>
      <c r="R976" s="3"/>
      <c r="S976" s="3"/>
      <c r="T976" s="3"/>
      <c r="U976" s="3"/>
    </row>
    <row r="977">
      <c r="A977" s="3"/>
      <c r="B977" s="3"/>
      <c r="C977" s="3"/>
      <c r="D977" s="3"/>
      <c r="E977" s="4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4"/>
      <c r="R977" s="3"/>
      <c r="S977" s="3"/>
      <c r="T977" s="3"/>
      <c r="U977" s="3"/>
    </row>
    <row r="978">
      <c r="A978" s="3"/>
      <c r="B978" s="3"/>
      <c r="C978" s="3"/>
      <c r="D978" s="3"/>
      <c r="E978" s="4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4"/>
      <c r="R978" s="3"/>
      <c r="S978" s="3"/>
      <c r="T978" s="3"/>
      <c r="U978" s="3"/>
    </row>
    <row r="979">
      <c r="A979" s="3"/>
      <c r="B979" s="3"/>
      <c r="C979" s="3"/>
      <c r="D979" s="3"/>
      <c r="E979" s="4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4"/>
      <c r="R979" s="3"/>
      <c r="S979" s="3"/>
      <c r="T979" s="3"/>
      <c r="U979" s="3"/>
    </row>
    <row r="980">
      <c r="A980" s="3"/>
      <c r="B980" s="3"/>
      <c r="C980" s="3"/>
      <c r="D980" s="3"/>
      <c r="E980" s="4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4"/>
      <c r="R980" s="3"/>
      <c r="S980" s="3"/>
      <c r="T980" s="3"/>
      <c r="U980" s="3"/>
    </row>
    <row r="981">
      <c r="A981" s="3"/>
      <c r="B981" s="3"/>
      <c r="C981" s="3"/>
      <c r="D981" s="3"/>
      <c r="E981" s="4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4"/>
      <c r="R981" s="3"/>
      <c r="S981" s="3"/>
      <c r="T981" s="3"/>
      <c r="U981" s="3"/>
    </row>
    <row r="982">
      <c r="A982" s="3"/>
      <c r="B982" s="3"/>
      <c r="C982" s="3"/>
      <c r="D982" s="3"/>
      <c r="E982" s="4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4"/>
      <c r="R982" s="3"/>
      <c r="S982" s="3"/>
      <c r="T982" s="3"/>
      <c r="U982" s="3"/>
    </row>
    <row r="983">
      <c r="A983" s="3"/>
      <c r="B983" s="3"/>
      <c r="C983" s="3"/>
      <c r="D983" s="3"/>
      <c r="E983" s="4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4"/>
      <c r="R983" s="3"/>
      <c r="S983" s="3"/>
      <c r="T983" s="3"/>
      <c r="U983" s="3"/>
    </row>
    <row r="984">
      <c r="A984" s="3"/>
      <c r="B984" s="3"/>
      <c r="C984" s="3"/>
      <c r="D984" s="3"/>
      <c r="E984" s="4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4"/>
      <c r="R984" s="3"/>
      <c r="S984" s="3"/>
      <c r="T984" s="3"/>
      <c r="U984" s="3"/>
    </row>
    <row r="985">
      <c r="A985" s="3"/>
      <c r="B985" s="3"/>
      <c r="C985" s="3"/>
      <c r="D985" s="3"/>
      <c r="E985" s="4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4"/>
      <c r="R985" s="3"/>
      <c r="S985" s="3"/>
      <c r="T985" s="3"/>
      <c r="U985" s="3"/>
    </row>
    <row r="986">
      <c r="A986" s="3"/>
      <c r="B986" s="3"/>
      <c r="C986" s="3"/>
      <c r="D986" s="3"/>
      <c r="E986" s="4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4"/>
      <c r="R986" s="3"/>
      <c r="S986" s="3"/>
      <c r="T986" s="3"/>
      <c r="U986" s="3"/>
    </row>
    <row r="987">
      <c r="A987" s="3"/>
      <c r="B987" s="3"/>
      <c r="C987" s="3"/>
      <c r="D987" s="3"/>
      <c r="E987" s="4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4"/>
      <c r="R987" s="3"/>
      <c r="S987" s="3"/>
      <c r="T987" s="3"/>
      <c r="U987" s="3"/>
    </row>
    <row r="988">
      <c r="A988" s="3"/>
      <c r="B988" s="3"/>
      <c r="C988" s="3"/>
      <c r="D988" s="3"/>
      <c r="E988" s="4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4"/>
      <c r="R988" s="3"/>
      <c r="S988" s="3"/>
      <c r="T988" s="3"/>
      <c r="U988" s="3"/>
    </row>
    <row r="989">
      <c r="A989" s="3"/>
      <c r="B989" s="3"/>
      <c r="C989" s="3"/>
      <c r="D989" s="3"/>
      <c r="E989" s="4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4"/>
      <c r="R989" s="3"/>
      <c r="S989" s="3"/>
      <c r="T989" s="3"/>
      <c r="U989" s="3"/>
    </row>
    <row r="990">
      <c r="A990" s="3"/>
      <c r="B990" s="3"/>
      <c r="C990" s="3"/>
      <c r="D990" s="3"/>
      <c r="E990" s="4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4"/>
      <c r="R990" s="3"/>
      <c r="S990" s="3"/>
      <c r="T990" s="3"/>
      <c r="U990" s="3"/>
    </row>
    <row r="991">
      <c r="A991" s="3"/>
      <c r="B991" s="3"/>
      <c r="C991" s="3"/>
      <c r="D991" s="3"/>
      <c r="E991" s="4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4"/>
      <c r="R991" s="3"/>
      <c r="S991" s="3"/>
      <c r="T991" s="3"/>
      <c r="U991" s="3"/>
    </row>
    <row r="992">
      <c r="A992" s="3"/>
      <c r="B992" s="3"/>
      <c r="C992" s="3"/>
      <c r="D992" s="3"/>
      <c r="E992" s="4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4"/>
      <c r="R992" s="3"/>
      <c r="S992" s="3"/>
      <c r="T992" s="3"/>
      <c r="U992" s="3"/>
    </row>
    <row r="993">
      <c r="A993" s="3"/>
      <c r="B993" s="3"/>
      <c r="C993" s="3"/>
      <c r="D993" s="3"/>
      <c r="E993" s="4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4"/>
      <c r="R993" s="3"/>
      <c r="S993" s="3"/>
      <c r="T993" s="3"/>
      <c r="U993" s="3"/>
    </row>
    <row r="994">
      <c r="A994" s="3"/>
      <c r="B994" s="3"/>
      <c r="C994" s="3"/>
      <c r="D994" s="3"/>
      <c r="E994" s="4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4"/>
      <c r="R994" s="3"/>
      <c r="S994" s="3"/>
      <c r="T994" s="3"/>
      <c r="U994" s="3"/>
    </row>
    <row r="995">
      <c r="A995" s="3"/>
      <c r="B995" s="3"/>
      <c r="C995" s="3"/>
      <c r="D995" s="3"/>
      <c r="E995" s="4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4"/>
      <c r="R995" s="3"/>
      <c r="S995" s="3"/>
      <c r="T995" s="3"/>
      <c r="U995" s="3"/>
    </row>
    <row r="996">
      <c r="A996" s="3"/>
      <c r="B996" s="3"/>
      <c r="C996" s="3"/>
      <c r="D996" s="3"/>
      <c r="E996" s="4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4"/>
      <c r="R996" s="3"/>
      <c r="S996" s="3"/>
      <c r="T996" s="3"/>
      <c r="U996" s="3"/>
    </row>
    <row r="997">
      <c r="A997" s="3"/>
      <c r="B997" s="3"/>
      <c r="C997" s="3"/>
      <c r="D997" s="3"/>
      <c r="E997" s="4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4"/>
      <c r="R997" s="3"/>
      <c r="S997" s="3"/>
      <c r="T997" s="3"/>
      <c r="U997" s="3"/>
    </row>
    <row r="998">
      <c r="A998" s="3"/>
      <c r="B998" s="3"/>
      <c r="C998" s="3"/>
      <c r="D998" s="3"/>
      <c r="E998" s="4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4"/>
      <c r="R998" s="3"/>
      <c r="S998" s="3"/>
      <c r="T998" s="3"/>
      <c r="U998" s="3"/>
    </row>
    <row r="999">
      <c r="A999" s="3"/>
      <c r="B999" s="3"/>
      <c r="C999" s="3"/>
      <c r="D999" s="3"/>
      <c r="E999" s="4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4"/>
      <c r="R999" s="3"/>
      <c r="S999" s="3"/>
      <c r="T999" s="3"/>
      <c r="U999" s="3"/>
    </row>
    <row r="1000">
      <c r="A1000" s="3"/>
      <c r="B1000" s="3"/>
      <c r="C1000" s="3"/>
      <c r="D1000" s="3"/>
      <c r="E1000" s="4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4"/>
      <c r="R1000" s="3"/>
      <c r="S1000" s="3"/>
      <c r="T1000" s="3"/>
      <c r="U1000" s="3"/>
    </row>
    <row r="1001">
      <c r="A1001" s="3"/>
      <c r="B1001" s="3"/>
      <c r="C1001" s="3"/>
      <c r="D1001" s="3"/>
      <c r="E1001" s="4"/>
      <c r="F1001" s="3"/>
      <c r="G1001" s="5"/>
      <c r="H1001" s="3"/>
      <c r="I1001" s="3"/>
      <c r="J1001" s="3"/>
      <c r="K1001" s="3"/>
      <c r="L1001" s="3"/>
      <c r="M1001" s="3"/>
      <c r="N1001" s="3"/>
      <c r="O1001" s="3"/>
      <c r="P1001" s="3"/>
      <c r="Q1001" s="4"/>
      <c r="R1001" s="3"/>
      <c r="S1001" s="3"/>
      <c r="T1001" s="3"/>
      <c r="U1001" s="3"/>
    </row>
    <row r="1002">
      <c r="A1002" s="3"/>
      <c r="B1002" s="3"/>
      <c r="C1002" s="3"/>
      <c r="D1002" s="3"/>
      <c r="E1002" s="4"/>
      <c r="F1002" s="3"/>
      <c r="G1002" s="5"/>
      <c r="H1002" s="3"/>
      <c r="I1002" s="3"/>
      <c r="J1002" s="3"/>
      <c r="K1002" s="3"/>
      <c r="L1002" s="3"/>
      <c r="M1002" s="3"/>
      <c r="N1002" s="3"/>
      <c r="O1002" s="3"/>
      <c r="P1002" s="3"/>
      <c r="Q1002" s="4"/>
      <c r="R1002" s="3"/>
      <c r="S1002" s="3"/>
      <c r="T1002" s="3"/>
      <c r="U1002" s="3"/>
    </row>
    <row r="1003">
      <c r="A1003" s="3"/>
      <c r="B1003" s="3"/>
      <c r="C1003" s="3"/>
      <c r="D1003" s="3"/>
      <c r="E1003" s="4"/>
      <c r="F1003" s="3"/>
      <c r="G1003" s="5"/>
      <c r="H1003" s="3"/>
      <c r="I1003" s="3"/>
      <c r="J1003" s="3"/>
      <c r="K1003" s="3"/>
      <c r="L1003" s="3"/>
      <c r="M1003" s="3"/>
      <c r="N1003" s="3"/>
      <c r="O1003" s="3"/>
      <c r="P1003" s="3"/>
      <c r="Q1003" s="4"/>
      <c r="R1003" s="3"/>
      <c r="S1003" s="3"/>
      <c r="T1003" s="3"/>
      <c r="U1003" s="3"/>
    </row>
    <row r="1004">
      <c r="A1004" s="3"/>
      <c r="B1004" s="3"/>
      <c r="C1004" s="3"/>
      <c r="D1004" s="3"/>
      <c r="E1004" s="4"/>
      <c r="F1004" s="3"/>
      <c r="G1004" s="5"/>
      <c r="H1004" s="3"/>
      <c r="I1004" s="3"/>
      <c r="J1004" s="3"/>
      <c r="K1004" s="3"/>
      <c r="L1004" s="3"/>
      <c r="M1004" s="3"/>
      <c r="N1004" s="3"/>
      <c r="O1004" s="3"/>
      <c r="P1004" s="3"/>
      <c r="Q1004" s="4"/>
      <c r="R1004" s="3"/>
      <c r="S1004" s="3"/>
      <c r="T1004" s="3"/>
      <c r="U1004" s="3"/>
    </row>
    <row r="1005">
      <c r="A1005" s="3"/>
      <c r="B1005" s="3"/>
      <c r="C1005" s="3"/>
      <c r="D1005" s="3"/>
      <c r="E1005" s="4"/>
      <c r="F1005" s="3"/>
      <c r="G1005" s="5"/>
      <c r="H1005" s="3"/>
      <c r="I1005" s="3"/>
      <c r="J1005" s="3"/>
      <c r="K1005" s="3"/>
      <c r="L1005" s="3"/>
      <c r="M1005" s="3"/>
      <c r="N1005" s="3"/>
      <c r="O1005" s="3"/>
      <c r="P1005" s="3"/>
      <c r="Q1005" s="4"/>
      <c r="R1005" s="3"/>
      <c r="S1005" s="3"/>
      <c r="T1005" s="3"/>
      <c r="U1005" s="3"/>
    </row>
    <row r="1006">
      <c r="A1006" s="3"/>
      <c r="B1006" s="3"/>
      <c r="C1006" s="3"/>
      <c r="D1006" s="3"/>
      <c r="E1006" s="4"/>
      <c r="F1006" s="3"/>
      <c r="G1006" s="5"/>
      <c r="H1006" s="3"/>
      <c r="I1006" s="3"/>
      <c r="J1006" s="3"/>
      <c r="K1006" s="3"/>
      <c r="L1006" s="3"/>
      <c r="M1006" s="3"/>
      <c r="N1006" s="3"/>
      <c r="O1006" s="3"/>
      <c r="P1006" s="3"/>
      <c r="Q1006" s="4"/>
      <c r="R1006" s="3"/>
      <c r="S1006" s="3"/>
      <c r="T1006" s="3"/>
      <c r="U1006" s="3"/>
    </row>
    <row r="1007">
      <c r="A1007" s="3"/>
      <c r="B1007" s="3"/>
      <c r="C1007" s="3"/>
      <c r="D1007" s="3"/>
      <c r="E1007" s="4"/>
      <c r="F1007" s="3"/>
      <c r="G1007" s="5"/>
      <c r="H1007" s="3"/>
      <c r="I1007" s="3"/>
      <c r="J1007" s="3"/>
      <c r="K1007" s="3"/>
      <c r="L1007" s="3"/>
      <c r="M1007" s="3"/>
      <c r="N1007" s="3"/>
      <c r="O1007" s="3"/>
      <c r="P1007" s="3"/>
      <c r="Q1007" s="4"/>
      <c r="R1007" s="3"/>
      <c r="S1007" s="3"/>
      <c r="T1007" s="3"/>
      <c r="U1007" s="3"/>
    </row>
    <row r="1008">
      <c r="A1008" s="3"/>
      <c r="B1008" s="3"/>
      <c r="C1008" s="3"/>
      <c r="D1008" s="3"/>
      <c r="E1008" s="4"/>
      <c r="F1008" s="3"/>
      <c r="G1008" s="5"/>
      <c r="H1008" s="3"/>
      <c r="I1008" s="3"/>
      <c r="J1008" s="3"/>
      <c r="K1008" s="3"/>
      <c r="L1008" s="3"/>
      <c r="M1008" s="3"/>
      <c r="N1008" s="3"/>
      <c r="O1008" s="3"/>
      <c r="P1008" s="3"/>
      <c r="Q1008" s="4"/>
      <c r="R1008" s="3"/>
      <c r="S1008" s="3"/>
      <c r="T1008" s="3"/>
      <c r="U1008" s="3"/>
    </row>
    <row r="1009">
      <c r="A1009" s="3"/>
      <c r="B1009" s="3"/>
      <c r="C1009" s="3"/>
      <c r="D1009" s="3"/>
      <c r="E1009" s="4"/>
      <c r="F1009" s="3"/>
      <c r="G1009" s="5"/>
      <c r="H1009" s="3"/>
      <c r="I1009" s="3"/>
      <c r="J1009" s="3"/>
      <c r="K1009" s="3"/>
      <c r="L1009" s="3"/>
      <c r="M1009" s="3"/>
      <c r="N1009" s="3"/>
      <c r="O1009" s="3"/>
      <c r="P1009" s="3"/>
      <c r="Q1009" s="4"/>
      <c r="R1009" s="3"/>
      <c r="S1009" s="3"/>
      <c r="T1009" s="3"/>
      <c r="U1009" s="3"/>
    </row>
    <row r="1010">
      <c r="A1010" s="3"/>
      <c r="B1010" s="3"/>
      <c r="C1010" s="3"/>
      <c r="D1010" s="3"/>
      <c r="E1010" s="4"/>
      <c r="F1010" s="3"/>
      <c r="G1010" s="5"/>
      <c r="H1010" s="3"/>
      <c r="I1010" s="3"/>
      <c r="J1010" s="3"/>
      <c r="K1010" s="3"/>
      <c r="L1010" s="3"/>
      <c r="M1010" s="3"/>
      <c r="N1010" s="3"/>
      <c r="O1010" s="3"/>
      <c r="P1010" s="3"/>
      <c r="Q1010" s="4"/>
      <c r="R1010" s="3"/>
      <c r="S1010" s="3"/>
      <c r="T1010" s="3"/>
      <c r="U1010" s="3"/>
    </row>
    <row r="1011">
      <c r="A1011" s="3"/>
      <c r="B1011" s="3"/>
      <c r="C1011" s="3"/>
      <c r="D1011" s="3"/>
      <c r="E1011" s="4"/>
      <c r="F1011" s="3"/>
      <c r="G1011" s="5"/>
      <c r="H1011" s="3"/>
      <c r="I1011" s="3"/>
      <c r="J1011" s="3"/>
      <c r="K1011" s="3"/>
      <c r="L1011" s="3"/>
      <c r="M1011" s="3"/>
      <c r="N1011" s="3"/>
      <c r="O1011" s="3"/>
      <c r="P1011" s="3"/>
      <c r="Q1011" s="4"/>
      <c r="R1011" s="3"/>
      <c r="S1011" s="3"/>
      <c r="T1011" s="3"/>
      <c r="U1011" s="3"/>
    </row>
    <row r="1012">
      <c r="A1012" s="3"/>
      <c r="B1012" s="3"/>
      <c r="C1012" s="3"/>
      <c r="D1012" s="3"/>
      <c r="E1012" s="4"/>
      <c r="F1012" s="3"/>
      <c r="G1012" s="5"/>
      <c r="H1012" s="3"/>
      <c r="I1012" s="3"/>
      <c r="J1012" s="3"/>
      <c r="K1012" s="3"/>
      <c r="L1012" s="3"/>
      <c r="M1012" s="3"/>
      <c r="N1012" s="3"/>
      <c r="O1012" s="3"/>
      <c r="P1012" s="3"/>
      <c r="Q1012" s="4"/>
      <c r="R1012" s="3"/>
      <c r="S1012" s="3"/>
      <c r="T1012" s="3"/>
      <c r="U1012" s="3"/>
    </row>
    <row r="1013">
      <c r="A1013" s="3"/>
      <c r="B1013" s="3"/>
      <c r="C1013" s="3"/>
      <c r="D1013" s="3"/>
      <c r="E1013" s="4"/>
      <c r="F1013" s="3"/>
      <c r="G1013" s="5"/>
      <c r="H1013" s="3"/>
      <c r="I1013" s="3"/>
      <c r="J1013" s="3"/>
      <c r="K1013" s="3"/>
      <c r="L1013" s="3"/>
      <c r="M1013" s="3"/>
      <c r="N1013" s="3"/>
      <c r="O1013" s="3"/>
      <c r="P1013" s="3"/>
      <c r="Q1013" s="4"/>
      <c r="R1013" s="3"/>
      <c r="S1013" s="3"/>
      <c r="T1013" s="3"/>
      <c r="U1013" s="3"/>
    </row>
    <row r="1014">
      <c r="A1014" s="3"/>
      <c r="B1014" s="3"/>
      <c r="C1014" s="3"/>
      <c r="D1014" s="3"/>
      <c r="E1014" s="4"/>
      <c r="F1014" s="3"/>
      <c r="G1014" s="5"/>
      <c r="H1014" s="3"/>
      <c r="I1014" s="3"/>
      <c r="J1014" s="3"/>
      <c r="K1014" s="3"/>
      <c r="L1014" s="3"/>
      <c r="M1014" s="3"/>
      <c r="N1014" s="3"/>
      <c r="O1014" s="3"/>
      <c r="P1014" s="3"/>
      <c r="Q1014" s="4"/>
      <c r="R1014" s="3"/>
      <c r="S1014" s="3"/>
      <c r="T1014" s="3"/>
      <c r="U1014" s="3"/>
    </row>
    <row r="1015">
      <c r="A1015" s="3"/>
      <c r="B1015" s="3"/>
      <c r="C1015" s="3"/>
      <c r="D1015" s="3"/>
      <c r="E1015" s="4"/>
      <c r="F1015" s="3"/>
      <c r="G1015" s="5"/>
      <c r="H1015" s="3"/>
      <c r="I1015" s="3"/>
      <c r="J1015" s="3"/>
      <c r="K1015" s="3"/>
      <c r="L1015" s="3"/>
      <c r="M1015" s="3"/>
      <c r="N1015" s="3"/>
      <c r="O1015" s="3"/>
      <c r="P1015" s="3"/>
      <c r="Q1015" s="4"/>
      <c r="R1015" s="3"/>
      <c r="S1015" s="3"/>
      <c r="T1015" s="3"/>
      <c r="U1015" s="3"/>
    </row>
    <row r="1016">
      <c r="A1016" s="3"/>
      <c r="B1016" s="3"/>
      <c r="C1016" s="3"/>
      <c r="D1016" s="3"/>
      <c r="E1016" s="4"/>
      <c r="F1016" s="3"/>
      <c r="G1016" s="5"/>
      <c r="H1016" s="3"/>
      <c r="I1016" s="3"/>
      <c r="J1016" s="3"/>
      <c r="K1016" s="3"/>
      <c r="L1016" s="3"/>
      <c r="M1016" s="3"/>
      <c r="N1016" s="3"/>
      <c r="O1016" s="3"/>
      <c r="P1016" s="3"/>
      <c r="Q1016" s="4"/>
      <c r="R1016" s="3"/>
      <c r="S1016" s="3"/>
      <c r="T1016" s="3"/>
      <c r="U1016" s="3"/>
    </row>
    <row r="1017">
      <c r="A1017" s="3"/>
      <c r="B1017" s="3"/>
      <c r="C1017" s="3"/>
      <c r="D1017" s="3"/>
      <c r="E1017" s="4"/>
      <c r="F1017" s="3"/>
      <c r="G1017" s="5"/>
      <c r="H1017" s="3"/>
      <c r="I1017" s="3"/>
      <c r="J1017" s="3"/>
      <c r="K1017" s="3"/>
      <c r="L1017" s="3"/>
      <c r="M1017" s="3"/>
      <c r="N1017" s="3"/>
      <c r="O1017" s="3"/>
      <c r="P1017" s="3"/>
      <c r="Q1017" s="4"/>
      <c r="R1017" s="3"/>
      <c r="S1017" s="3"/>
      <c r="T1017" s="3"/>
      <c r="U1017" s="3"/>
    </row>
    <row r="1018">
      <c r="A1018" s="3"/>
      <c r="B1018" s="3"/>
      <c r="C1018" s="3"/>
      <c r="D1018" s="3"/>
      <c r="E1018" s="4"/>
      <c r="F1018" s="3"/>
      <c r="G1018" s="5"/>
      <c r="H1018" s="3"/>
      <c r="I1018" s="3"/>
      <c r="J1018" s="3"/>
      <c r="K1018" s="3"/>
      <c r="L1018" s="3"/>
      <c r="M1018" s="3"/>
      <c r="N1018" s="3"/>
      <c r="O1018" s="3"/>
      <c r="P1018" s="3"/>
      <c r="Q1018" s="4"/>
      <c r="R1018" s="3"/>
      <c r="S1018" s="3"/>
      <c r="T1018" s="3"/>
      <c r="U1018" s="3"/>
    </row>
    <row r="1019">
      <c r="A1019" s="3"/>
      <c r="B1019" s="3"/>
      <c r="C1019" s="3"/>
      <c r="D1019" s="3"/>
      <c r="E1019" s="4"/>
      <c r="F1019" s="3"/>
      <c r="G1019" s="5"/>
      <c r="H1019" s="3"/>
      <c r="I1019" s="3"/>
      <c r="J1019" s="3"/>
      <c r="K1019" s="3"/>
      <c r="L1019" s="3"/>
      <c r="M1019" s="3"/>
      <c r="N1019" s="3"/>
      <c r="O1019" s="3"/>
      <c r="P1019" s="3"/>
      <c r="Q1019" s="4"/>
      <c r="R1019" s="3"/>
      <c r="S1019" s="3"/>
      <c r="T1019" s="3"/>
      <c r="U1019" s="3"/>
    </row>
    <row r="1020">
      <c r="A1020" s="3"/>
      <c r="B1020" s="3"/>
      <c r="C1020" s="3"/>
      <c r="D1020" s="3"/>
      <c r="E1020" s="4"/>
      <c r="F1020" s="3"/>
      <c r="G1020" s="5"/>
      <c r="H1020" s="3"/>
      <c r="I1020" s="3"/>
      <c r="J1020" s="3"/>
      <c r="K1020" s="3"/>
      <c r="L1020" s="3"/>
      <c r="M1020" s="3"/>
      <c r="N1020" s="3"/>
      <c r="O1020" s="3"/>
      <c r="P1020" s="3"/>
      <c r="Q1020" s="4"/>
      <c r="R1020" s="3"/>
      <c r="S1020" s="3"/>
      <c r="T1020" s="3"/>
      <c r="U1020" s="3"/>
    </row>
    <row r="1021">
      <c r="A1021" s="3"/>
      <c r="B1021" s="3"/>
      <c r="C1021" s="3"/>
      <c r="D1021" s="3"/>
      <c r="E1021" s="4"/>
      <c r="F1021" s="3"/>
      <c r="G1021" s="5"/>
      <c r="H1021" s="3"/>
      <c r="I1021" s="3"/>
      <c r="J1021" s="3"/>
      <c r="K1021" s="3"/>
      <c r="L1021" s="3"/>
      <c r="M1021" s="3"/>
      <c r="N1021" s="3"/>
      <c r="O1021" s="3"/>
      <c r="P1021" s="3"/>
      <c r="Q1021" s="4"/>
      <c r="R1021" s="3"/>
      <c r="S1021" s="3"/>
      <c r="T1021" s="3"/>
      <c r="U1021" s="3"/>
    </row>
    <row r="1022">
      <c r="A1022" s="3"/>
      <c r="B1022" s="3"/>
      <c r="C1022" s="3"/>
      <c r="D1022" s="3"/>
      <c r="E1022" s="4"/>
      <c r="F1022" s="3"/>
      <c r="G1022" s="5"/>
      <c r="H1022" s="3"/>
      <c r="I1022" s="3"/>
      <c r="J1022" s="3"/>
      <c r="K1022" s="3"/>
      <c r="L1022" s="3"/>
      <c r="M1022" s="3"/>
      <c r="N1022" s="3"/>
      <c r="O1022" s="3"/>
      <c r="P1022" s="3"/>
      <c r="Q1022" s="4"/>
      <c r="R1022" s="3"/>
      <c r="S1022" s="3"/>
      <c r="T1022" s="3"/>
      <c r="U1022" s="3"/>
    </row>
    <row r="1023">
      <c r="A1023" s="3"/>
      <c r="B1023" s="3"/>
      <c r="C1023" s="3"/>
      <c r="D1023" s="3"/>
      <c r="E1023" s="4"/>
      <c r="F1023" s="3"/>
      <c r="G1023" s="5"/>
      <c r="H1023" s="3"/>
      <c r="I1023" s="3"/>
      <c r="J1023" s="3"/>
      <c r="K1023" s="3"/>
      <c r="L1023" s="3"/>
      <c r="M1023" s="3"/>
      <c r="N1023" s="3"/>
      <c r="O1023" s="3"/>
      <c r="P1023" s="3"/>
      <c r="Q1023" s="4"/>
      <c r="R1023" s="3"/>
      <c r="S1023" s="3"/>
      <c r="T1023" s="3"/>
      <c r="U1023" s="3"/>
    </row>
    <row r="1024">
      <c r="A1024" s="3"/>
      <c r="B1024" s="3"/>
      <c r="C1024" s="3"/>
      <c r="D1024" s="3"/>
      <c r="E1024" s="4"/>
      <c r="F1024" s="3"/>
      <c r="G1024" s="5"/>
      <c r="H1024" s="3"/>
      <c r="I1024" s="3"/>
      <c r="J1024" s="3"/>
      <c r="K1024" s="3"/>
      <c r="L1024" s="3"/>
      <c r="M1024" s="3"/>
      <c r="N1024" s="3"/>
      <c r="O1024" s="3"/>
      <c r="P1024" s="3"/>
      <c r="Q1024" s="4"/>
      <c r="R1024" s="3"/>
      <c r="S1024" s="3"/>
      <c r="T1024" s="3"/>
      <c r="U1024" s="3"/>
    </row>
    <row r="1025">
      <c r="A1025" s="3"/>
      <c r="B1025" s="3"/>
      <c r="C1025" s="3"/>
      <c r="D1025" s="3"/>
      <c r="E1025" s="4"/>
      <c r="F1025" s="3"/>
      <c r="G1025" s="5"/>
      <c r="H1025" s="3"/>
      <c r="I1025" s="3"/>
      <c r="J1025" s="3"/>
      <c r="K1025" s="3"/>
      <c r="L1025" s="3"/>
      <c r="M1025" s="3"/>
      <c r="N1025" s="3"/>
      <c r="O1025" s="3"/>
      <c r="P1025" s="3"/>
      <c r="Q1025" s="4"/>
      <c r="R1025" s="3"/>
      <c r="S1025" s="3"/>
      <c r="T1025" s="3"/>
      <c r="U1025" s="3"/>
    </row>
    <row r="1026">
      <c r="A1026" s="3"/>
      <c r="B1026" s="3"/>
      <c r="C1026" s="3"/>
      <c r="D1026" s="3"/>
      <c r="E1026" s="4"/>
      <c r="F1026" s="3"/>
      <c r="G1026" s="5"/>
      <c r="H1026" s="3"/>
      <c r="I1026" s="3"/>
      <c r="J1026" s="3"/>
      <c r="K1026" s="3"/>
      <c r="L1026" s="3"/>
      <c r="M1026" s="3"/>
      <c r="N1026" s="3"/>
      <c r="O1026" s="3"/>
      <c r="P1026" s="3"/>
      <c r="Q1026" s="4"/>
      <c r="R1026" s="3"/>
      <c r="S1026" s="3"/>
      <c r="T1026" s="3"/>
      <c r="U1026" s="3"/>
    </row>
    <row r="1027">
      <c r="A1027" s="3"/>
      <c r="B1027" s="3"/>
      <c r="C1027" s="3"/>
      <c r="D1027" s="3"/>
      <c r="E1027" s="4"/>
      <c r="F1027" s="3"/>
      <c r="G1027" s="5"/>
      <c r="H1027" s="3"/>
      <c r="I1027" s="3"/>
      <c r="J1027" s="3"/>
      <c r="K1027" s="3"/>
      <c r="L1027" s="3"/>
      <c r="M1027" s="3"/>
      <c r="N1027" s="3"/>
      <c r="O1027" s="3"/>
      <c r="P1027" s="3"/>
      <c r="Q1027" s="4"/>
      <c r="R1027" s="3"/>
      <c r="S1027" s="3"/>
      <c r="T1027" s="3"/>
      <c r="U1027" s="3"/>
    </row>
    <row r="1028">
      <c r="A1028" s="3"/>
      <c r="B1028" s="3"/>
      <c r="C1028" s="3"/>
      <c r="D1028" s="3"/>
      <c r="E1028" s="4"/>
      <c r="F1028" s="3"/>
      <c r="G1028" s="5"/>
      <c r="H1028" s="3"/>
      <c r="I1028" s="3"/>
      <c r="J1028" s="3"/>
      <c r="K1028" s="3"/>
      <c r="L1028" s="3"/>
      <c r="M1028" s="3"/>
      <c r="N1028" s="3"/>
      <c r="O1028" s="3"/>
      <c r="P1028" s="3"/>
      <c r="Q1028" s="4"/>
      <c r="R1028" s="3"/>
      <c r="S1028" s="3"/>
      <c r="T1028" s="3"/>
      <c r="U1028" s="3"/>
    </row>
    <row r="1029">
      <c r="A1029" s="3"/>
      <c r="B1029" s="3"/>
      <c r="C1029" s="3"/>
      <c r="D1029" s="3"/>
      <c r="E1029" s="4"/>
      <c r="F1029" s="3"/>
      <c r="G1029" s="5"/>
      <c r="H1029" s="3"/>
      <c r="I1029" s="3"/>
      <c r="J1029" s="3"/>
      <c r="K1029" s="3"/>
      <c r="L1029" s="3"/>
      <c r="M1029" s="3"/>
      <c r="N1029" s="3"/>
      <c r="O1029" s="3"/>
      <c r="P1029" s="3"/>
      <c r="Q1029" s="4"/>
      <c r="R1029" s="3"/>
      <c r="S1029" s="3"/>
      <c r="T1029" s="3"/>
      <c r="U1029" s="3"/>
    </row>
    <row r="1030">
      <c r="A1030" s="3"/>
      <c r="B1030" s="3"/>
      <c r="C1030" s="3"/>
      <c r="D1030" s="3"/>
      <c r="E1030" s="4"/>
      <c r="F1030" s="3"/>
      <c r="G1030" s="5"/>
      <c r="H1030" s="3"/>
      <c r="I1030" s="3"/>
      <c r="J1030" s="3"/>
      <c r="K1030" s="3"/>
      <c r="L1030" s="3"/>
      <c r="M1030" s="3"/>
      <c r="N1030" s="3"/>
      <c r="O1030" s="3"/>
      <c r="P1030" s="3"/>
      <c r="Q1030" s="4"/>
      <c r="R1030" s="3"/>
      <c r="S1030" s="3"/>
      <c r="T1030" s="3"/>
      <c r="U1030" s="3"/>
    </row>
    <row r="1031">
      <c r="A1031" s="3"/>
      <c r="B1031" s="3"/>
      <c r="C1031" s="3"/>
      <c r="D1031" s="3"/>
      <c r="E1031" s="4"/>
      <c r="F1031" s="3"/>
      <c r="G1031" s="5"/>
      <c r="H1031" s="3"/>
      <c r="I1031" s="3"/>
      <c r="J1031" s="3"/>
      <c r="K1031" s="3"/>
      <c r="L1031" s="3"/>
      <c r="M1031" s="3"/>
      <c r="N1031" s="3"/>
      <c r="O1031" s="3"/>
      <c r="P1031" s="3"/>
      <c r="Q1031" s="4"/>
      <c r="R1031" s="3"/>
      <c r="S1031" s="3"/>
      <c r="T1031" s="3"/>
      <c r="U1031" s="3"/>
    </row>
    <row r="1032">
      <c r="A1032" s="3"/>
      <c r="B1032" s="3"/>
      <c r="C1032" s="3"/>
      <c r="D1032" s="3"/>
      <c r="E1032" s="4"/>
      <c r="F1032" s="3"/>
      <c r="G1032" s="5"/>
      <c r="H1032" s="3"/>
      <c r="I1032" s="3"/>
      <c r="J1032" s="3"/>
      <c r="K1032" s="3"/>
      <c r="L1032" s="3"/>
      <c r="M1032" s="3"/>
      <c r="N1032" s="3"/>
      <c r="O1032" s="3"/>
      <c r="P1032" s="3"/>
      <c r="Q1032" s="4"/>
      <c r="R1032" s="3"/>
      <c r="S1032" s="3"/>
      <c r="T1032" s="3"/>
      <c r="U1032" s="3"/>
    </row>
    <row r="1033">
      <c r="A1033" s="3"/>
      <c r="B1033" s="3"/>
      <c r="C1033" s="3"/>
      <c r="D1033" s="3"/>
      <c r="E1033" s="4"/>
      <c r="F1033" s="3"/>
      <c r="G1033" s="5"/>
      <c r="H1033" s="3"/>
      <c r="I1033" s="3"/>
      <c r="J1033" s="3"/>
      <c r="K1033" s="3"/>
      <c r="L1033" s="3"/>
      <c r="M1033" s="3"/>
      <c r="N1033" s="3"/>
      <c r="O1033" s="3"/>
      <c r="P1033" s="3"/>
      <c r="Q1033" s="4"/>
      <c r="R1033" s="3"/>
      <c r="S1033" s="3"/>
      <c r="T1033" s="3"/>
      <c r="U1033" s="3"/>
    </row>
    <row r="1034">
      <c r="A1034" s="3"/>
      <c r="B1034" s="3"/>
      <c r="C1034" s="3"/>
      <c r="D1034" s="3"/>
      <c r="E1034" s="4"/>
      <c r="F1034" s="3"/>
      <c r="G1034" s="5"/>
      <c r="H1034" s="3"/>
      <c r="I1034" s="3"/>
      <c r="J1034" s="3"/>
      <c r="K1034" s="3"/>
      <c r="L1034" s="3"/>
      <c r="M1034" s="3"/>
      <c r="N1034" s="3"/>
      <c r="O1034" s="3"/>
      <c r="P1034" s="3"/>
      <c r="Q1034" s="4"/>
      <c r="R1034" s="3"/>
      <c r="S1034" s="3"/>
      <c r="T1034" s="3"/>
      <c r="U1034" s="3"/>
    </row>
    <row r="1035">
      <c r="A1035" s="3"/>
      <c r="B1035" s="3"/>
      <c r="C1035" s="3"/>
      <c r="D1035" s="3"/>
      <c r="E1035" s="4"/>
      <c r="F1035" s="3"/>
      <c r="G1035" s="5"/>
      <c r="H1035" s="3"/>
      <c r="I1035" s="3"/>
      <c r="J1035" s="3"/>
      <c r="K1035" s="3"/>
      <c r="L1035" s="3"/>
      <c r="M1035" s="3"/>
      <c r="N1035" s="3"/>
      <c r="O1035" s="3"/>
      <c r="P1035" s="3"/>
      <c r="Q1035" s="4"/>
      <c r="R1035" s="3"/>
      <c r="S1035" s="3"/>
      <c r="T1035" s="3"/>
      <c r="U1035" s="3"/>
    </row>
    <row r="1036">
      <c r="A1036" s="3"/>
      <c r="B1036" s="3"/>
      <c r="C1036" s="3"/>
      <c r="D1036" s="3"/>
      <c r="E1036" s="4"/>
      <c r="F1036" s="3"/>
      <c r="G1036" s="5"/>
      <c r="H1036" s="3"/>
      <c r="I1036" s="3"/>
      <c r="J1036" s="3"/>
      <c r="K1036" s="3"/>
      <c r="L1036" s="3"/>
      <c r="M1036" s="3"/>
      <c r="N1036" s="3"/>
      <c r="O1036" s="3"/>
      <c r="P1036" s="3"/>
      <c r="Q1036" s="4"/>
      <c r="R1036" s="3"/>
      <c r="S1036" s="3"/>
      <c r="T1036" s="3"/>
      <c r="U1036" s="3"/>
    </row>
    <row r="1037">
      <c r="A1037" s="3"/>
      <c r="B1037" s="3"/>
      <c r="C1037" s="3"/>
      <c r="D1037" s="3"/>
      <c r="E1037" s="4"/>
      <c r="F1037" s="3"/>
      <c r="G1037" s="5"/>
      <c r="H1037" s="3"/>
      <c r="I1037" s="3"/>
      <c r="J1037" s="3"/>
      <c r="K1037" s="3"/>
      <c r="L1037" s="3"/>
      <c r="M1037" s="3"/>
      <c r="N1037" s="3"/>
      <c r="O1037" s="3"/>
      <c r="P1037" s="3"/>
      <c r="Q1037" s="4"/>
      <c r="R1037" s="3"/>
      <c r="S1037" s="3"/>
      <c r="T1037" s="3"/>
      <c r="U1037" s="3"/>
    </row>
    <row r="1038">
      <c r="A1038" s="3"/>
      <c r="B1038" s="3"/>
      <c r="C1038" s="3"/>
      <c r="D1038" s="3"/>
      <c r="E1038" s="4"/>
      <c r="F1038" s="3"/>
      <c r="G1038" s="5"/>
      <c r="H1038" s="3"/>
      <c r="I1038" s="3"/>
      <c r="J1038" s="3"/>
      <c r="K1038" s="3"/>
      <c r="L1038" s="3"/>
      <c r="M1038" s="3"/>
      <c r="N1038" s="3"/>
      <c r="O1038" s="3"/>
      <c r="P1038" s="3"/>
      <c r="Q1038" s="4"/>
      <c r="R1038" s="3"/>
      <c r="S1038" s="3"/>
      <c r="T1038" s="3"/>
      <c r="U1038" s="3"/>
    </row>
    <row r="1039">
      <c r="A1039" s="3"/>
      <c r="B1039" s="3"/>
      <c r="C1039" s="3"/>
      <c r="D1039" s="3"/>
      <c r="E1039" s="4"/>
      <c r="F1039" s="3"/>
      <c r="G1039" s="5"/>
      <c r="H1039" s="3"/>
      <c r="I1039" s="3"/>
      <c r="J1039" s="3"/>
      <c r="K1039" s="3"/>
      <c r="L1039" s="3"/>
      <c r="M1039" s="3"/>
      <c r="N1039" s="3"/>
      <c r="O1039" s="3"/>
      <c r="P1039" s="3"/>
      <c r="Q1039" s="4"/>
      <c r="R1039" s="3"/>
      <c r="S1039" s="3"/>
      <c r="T1039" s="3"/>
      <c r="U1039" s="3"/>
    </row>
    <row r="1040">
      <c r="A1040" s="3"/>
      <c r="B1040" s="3"/>
      <c r="C1040" s="3"/>
      <c r="D1040" s="3"/>
      <c r="E1040" s="4"/>
      <c r="F1040" s="3"/>
      <c r="G1040" s="5"/>
      <c r="H1040" s="3"/>
      <c r="I1040" s="3"/>
      <c r="J1040" s="3"/>
      <c r="K1040" s="3"/>
      <c r="L1040" s="3"/>
      <c r="M1040" s="3"/>
      <c r="N1040" s="3"/>
      <c r="O1040" s="3"/>
      <c r="P1040" s="3"/>
      <c r="Q1040" s="4"/>
      <c r="R1040" s="3"/>
      <c r="S1040" s="3"/>
      <c r="T1040" s="3"/>
      <c r="U1040" s="3"/>
    </row>
    <row r="1041">
      <c r="A1041" s="3"/>
      <c r="B1041" s="3"/>
      <c r="C1041" s="3"/>
      <c r="D1041" s="3"/>
      <c r="E1041" s="4"/>
      <c r="F1041" s="3"/>
      <c r="G1041" s="5"/>
      <c r="H1041" s="3"/>
      <c r="I1041" s="3"/>
      <c r="J1041" s="3"/>
      <c r="K1041" s="3"/>
      <c r="L1041" s="3"/>
      <c r="M1041" s="3"/>
      <c r="N1041" s="3"/>
      <c r="O1041" s="3"/>
      <c r="P1041" s="3"/>
      <c r="Q1041" s="4"/>
      <c r="R1041" s="3"/>
      <c r="S1041" s="3"/>
      <c r="T1041" s="3"/>
      <c r="U1041" s="3"/>
    </row>
    <row r="1042">
      <c r="A1042" s="3"/>
      <c r="B1042" s="3"/>
      <c r="C1042" s="3"/>
      <c r="D1042" s="3"/>
      <c r="E1042" s="4"/>
      <c r="F1042" s="3"/>
      <c r="G1042" s="5"/>
      <c r="H1042" s="3"/>
      <c r="I1042" s="3"/>
      <c r="J1042" s="3"/>
      <c r="K1042" s="3"/>
      <c r="L1042" s="3"/>
      <c r="M1042" s="3"/>
      <c r="N1042" s="3"/>
      <c r="O1042" s="3"/>
      <c r="P1042" s="3"/>
      <c r="Q1042" s="4"/>
      <c r="R1042" s="3"/>
      <c r="S1042" s="3"/>
      <c r="T1042" s="3"/>
      <c r="U1042" s="3"/>
    </row>
    <row r="1043">
      <c r="A1043" s="3"/>
      <c r="B1043" s="3"/>
      <c r="C1043" s="3"/>
      <c r="D1043" s="3"/>
      <c r="E1043" s="4"/>
      <c r="F1043" s="3"/>
      <c r="G1043" s="5"/>
      <c r="H1043" s="3"/>
      <c r="I1043" s="3"/>
      <c r="J1043" s="3"/>
      <c r="K1043" s="3"/>
      <c r="L1043" s="3"/>
      <c r="M1043" s="3"/>
      <c r="N1043" s="3"/>
      <c r="O1043" s="3"/>
      <c r="P1043" s="3"/>
      <c r="Q1043" s="4"/>
      <c r="R1043" s="3"/>
      <c r="S1043" s="3"/>
      <c r="T1043" s="3"/>
      <c r="U1043" s="3"/>
    </row>
    <row r="1044">
      <c r="A1044" s="3"/>
      <c r="B1044" s="3"/>
      <c r="C1044" s="3"/>
      <c r="D1044" s="3"/>
      <c r="E1044" s="4"/>
      <c r="F1044" s="3"/>
      <c r="G1044" s="5"/>
      <c r="H1044" s="3"/>
      <c r="I1044" s="3"/>
      <c r="J1044" s="3"/>
      <c r="K1044" s="3"/>
      <c r="L1044" s="3"/>
      <c r="M1044" s="3"/>
      <c r="N1044" s="3"/>
      <c r="O1044" s="3"/>
      <c r="P1044" s="3"/>
      <c r="Q1044" s="4"/>
      <c r="R1044" s="3"/>
      <c r="S1044" s="3"/>
      <c r="T1044" s="3"/>
      <c r="U1044" s="3"/>
    </row>
    <row r="1045">
      <c r="A1045" s="3"/>
      <c r="B1045" s="3"/>
      <c r="C1045" s="3"/>
      <c r="D1045" s="3"/>
      <c r="E1045" s="4"/>
      <c r="F1045" s="3"/>
      <c r="G1045" s="5"/>
      <c r="H1045" s="3"/>
      <c r="I1045" s="3"/>
      <c r="J1045" s="3"/>
      <c r="K1045" s="3"/>
      <c r="L1045" s="3"/>
      <c r="M1045" s="3"/>
      <c r="N1045" s="3"/>
      <c r="O1045" s="3"/>
      <c r="P1045" s="3"/>
      <c r="Q1045" s="4"/>
      <c r="R1045" s="3"/>
      <c r="S1045" s="3"/>
      <c r="T1045" s="3"/>
      <c r="U1045" s="3"/>
    </row>
    <row r="1046">
      <c r="A1046" s="3"/>
      <c r="B1046" s="3"/>
      <c r="C1046" s="3"/>
      <c r="D1046" s="3"/>
      <c r="E1046" s="4"/>
      <c r="F1046" s="3"/>
      <c r="G1046" s="5"/>
      <c r="H1046" s="3"/>
      <c r="I1046" s="3"/>
      <c r="J1046" s="3"/>
      <c r="K1046" s="3"/>
      <c r="L1046" s="3"/>
      <c r="M1046" s="3"/>
      <c r="N1046" s="3"/>
      <c r="O1046" s="3"/>
      <c r="P1046" s="3"/>
      <c r="Q1046" s="4"/>
      <c r="R1046" s="3"/>
      <c r="S1046" s="3"/>
      <c r="T1046" s="3"/>
      <c r="U1046" s="3"/>
    </row>
    <row r="1047">
      <c r="A1047" s="3"/>
      <c r="B1047" s="3"/>
      <c r="C1047" s="3"/>
      <c r="D1047" s="3"/>
      <c r="E1047" s="4"/>
      <c r="F1047" s="3"/>
      <c r="G1047" s="5"/>
      <c r="H1047" s="3"/>
      <c r="I1047" s="3"/>
      <c r="J1047" s="3"/>
      <c r="K1047" s="3"/>
      <c r="L1047" s="3"/>
      <c r="M1047" s="3"/>
      <c r="N1047" s="3"/>
      <c r="O1047" s="3"/>
      <c r="P1047" s="3"/>
      <c r="Q1047" s="4"/>
      <c r="R1047" s="3"/>
      <c r="S1047" s="3"/>
      <c r="T1047" s="3"/>
      <c r="U1047" s="3"/>
    </row>
    <row r="1048">
      <c r="A1048" s="3"/>
      <c r="B1048" s="3"/>
      <c r="C1048" s="3"/>
      <c r="D1048" s="3"/>
      <c r="E1048" s="4"/>
      <c r="F1048" s="3"/>
      <c r="G1048" s="5"/>
      <c r="H1048" s="3"/>
      <c r="I1048" s="3"/>
      <c r="J1048" s="3"/>
      <c r="K1048" s="3"/>
      <c r="L1048" s="3"/>
      <c r="M1048" s="3"/>
      <c r="N1048" s="3"/>
      <c r="O1048" s="3"/>
      <c r="P1048" s="3"/>
      <c r="Q1048" s="4"/>
      <c r="R1048" s="3"/>
      <c r="S1048" s="3"/>
      <c r="T1048" s="3"/>
      <c r="U1048" s="3"/>
    </row>
    <row r="1049">
      <c r="A1049" s="3"/>
      <c r="B1049" s="3"/>
      <c r="C1049" s="3"/>
      <c r="D1049" s="3"/>
      <c r="E1049" s="4"/>
      <c r="F1049" s="3"/>
      <c r="G1049" s="5"/>
      <c r="H1049" s="3"/>
      <c r="I1049" s="3"/>
      <c r="J1049" s="3"/>
      <c r="K1049" s="3"/>
      <c r="L1049" s="3"/>
      <c r="M1049" s="3"/>
      <c r="N1049" s="3"/>
      <c r="O1049" s="3"/>
      <c r="P1049" s="3"/>
      <c r="Q1049" s="4"/>
      <c r="R1049" s="3"/>
      <c r="S1049" s="3"/>
      <c r="T1049" s="3"/>
      <c r="U1049" s="3"/>
    </row>
    <row r="1050">
      <c r="A1050" s="3"/>
      <c r="B1050" s="3"/>
      <c r="C1050" s="3"/>
      <c r="D1050" s="3"/>
      <c r="E1050" s="4"/>
      <c r="F1050" s="3"/>
      <c r="G1050" s="5"/>
      <c r="H1050" s="3"/>
      <c r="I1050" s="3"/>
      <c r="J1050" s="3"/>
      <c r="K1050" s="3"/>
      <c r="L1050" s="3"/>
      <c r="M1050" s="3"/>
      <c r="N1050" s="3"/>
      <c r="O1050" s="3"/>
      <c r="P1050" s="3"/>
      <c r="Q1050" s="4"/>
      <c r="R1050" s="3"/>
      <c r="S1050" s="3"/>
      <c r="T1050" s="3"/>
      <c r="U1050" s="3"/>
    </row>
    <row r="1051">
      <c r="A1051" s="3"/>
      <c r="B1051" s="3"/>
      <c r="C1051" s="3"/>
      <c r="D1051" s="3"/>
      <c r="E1051" s="4"/>
      <c r="F1051" s="3"/>
      <c r="G1051" s="5"/>
      <c r="H1051" s="3"/>
      <c r="I1051" s="3"/>
      <c r="J1051" s="3"/>
      <c r="K1051" s="3"/>
      <c r="L1051" s="3"/>
      <c r="M1051" s="3"/>
      <c r="N1051" s="3"/>
      <c r="O1051" s="3"/>
      <c r="P1051" s="3"/>
      <c r="Q1051" s="4"/>
      <c r="R1051" s="3"/>
      <c r="S1051" s="3"/>
      <c r="T1051" s="3"/>
      <c r="U1051" s="3"/>
    </row>
    <row r="1052">
      <c r="A1052" s="3"/>
      <c r="B1052" s="3"/>
      <c r="C1052" s="3"/>
      <c r="D1052" s="3"/>
      <c r="E1052" s="4"/>
      <c r="F1052" s="3"/>
      <c r="G1052" s="5"/>
      <c r="H1052" s="3"/>
      <c r="I1052" s="3"/>
      <c r="J1052" s="3"/>
      <c r="K1052" s="3"/>
      <c r="L1052" s="3"/>
      <c r="M1052" s="3"/>
      <c r="N1052" s="3"/>
      <c r="O1052" s="3"/>
      <c r="P1052" s="3"/>
      <c r="Q1052" s="4"/>
      <c r="R1052" s="3"/>
      <c r="S1052" s="3"/>
      <c r="T1052" s="3"/>
      <c r="U1052" s="3"/>
    </row>
    <row r="1053">
      <c r="A1053" s="3"/>
      <c r="B1053" s="3"/>
      <c r="C1053" s="3"/>
      <c r="D1053" s="3"/>
      <c r="E1053" s="4"/>
      <c r="F1053" s="3"/>
      <c r="G1053" s="5"/>
      <c r="H1053" s="3"/>
      <c r="I1053" s="3"/>
      <c r="J1053" s="3"/>
      <c r="K1053" s="3"/>
      <c r="L1053" s="3"/>
      <c r="M1053" s="3"/>
      <c r="N1053" s="3"/>
      <c r="O1053" s="3"/>
      <c r="P1053" s="3"/>
      <c r="Q1053" s="4"/>
      <c r="R1053" s="3"/>
      <c r="S1053" s="3"/>
      <c r="T1053" s="3"/>
      <c r="U1053" s="3"/>
    </row>
    <row r="1054">
      <c r="A1054" s="3"/>
      <c r="B1054" s="3"/>
      <c r="C1054" s="3"/>
      <c r="D1054" s="3"/>
      <c r="E1054" s="4"/>
      <c r="F1054" s="3"/>
      <c r="G1054" s="5"/>
      <c r="H1054" s="3"/>
      <c r="I1054" s="3"/>
      <c r="J1054" s="3"/>
      <c r="K1054" s="3"/>
      <c r="L1054" s="3"/>
      <c r="M1054" s="3"/>
      <c r="N1054" s="3"/>
      <c r="O1054" s="3"/>
      <c r="P1054" s="3"/>
      <c r="Q1054" s="4"/>
      <c r="R1054" s="3"/>
      <c r="S1054" s="3"/>
      <c r="T1054" s="3"/>
      <c r="U1054" s="3"/>
    </row>
    <row r="1055">
      <c r="A1055" s="3"/>
      <c r="B1055" s="3"/>
      <c r="C1055" s="3"/>
      <c r="D1055" s="3"/>
      <c r="E1055" s="4"/>
      <c r="F1055" s="3"/>
      <c r="G1055" s="5"/>
      <c r="H1055" s="3"/>
      <c r="I1055" s="3"/>
      <c r="J1055" s="3"/>
      <c r="K1055" s="3"/>
      <c r="L1055" s="3"/>
      <c r="M1055" s="3"/>
      <c r="N1055" s="3"/>
      <c r="O1055" s="3"/>
      <c r="P1055" s="3"/>
      <c r="Q1055" s="4"/>
      <c r="R1055" s="3"/>
      <c r="S1055" s="3"/>
      <c r="T1055" s="3"/>
      <c r="U1055" s="3"/>
    </row>
    <row r="1056">
      <c r="A1056" s="3"/>
      <c r="B1056" s="3"/>
      <c r="C1056" s="3"/>
      <c r="D1056" s="3"/>
      <c r="E1056" s="4"/>
      <c r="F1056" s="3"/>
      <c r="G1056" s="5"/>
      <c r="H1056" s="3"/>
      <c r="I1056" s="3"/>
      <c r="J1056" s="3"/>
      <c r="K1056" s="3"/>
      <c r="L1056" s="3"/>
      <c r="M1056" s="3"/>
      <c r="N1056" s="3"/>
      <c r="O1056" s="3"/>
      <c r="P1056" s="3"/>
      <c r="Q1056" s="4"/>
      <c r="R1056" s="3"/>
      <c r="S1056" s="3"/>
      <c r="T1056" s="3"/>
      <c r="U1056" s="3"/>
    </row>
    <row r="1057">
      <c r="A1057" s="3"/>
      <c r="B1057" s="3"/>
      <c r="C1057" s="3"/>
      <c r="D1057" s="3"/>
      <c r="E1057" s="4"/>
      <c r="F1057" s="3"/>
      <c r="G1057" s="5"/>
      <c r="H1057" s="3"/>
      <c r="I1057" s="3"/>
      <c r="J1057" s="3"/>
      <c r="K1057" s="3"/>
      <c r="L1057" s="3"/>
      <c r="M1057" s="3"/>
      <c r="N1057" s="3"/>
      <c r="O1057" s="3"/>
      <c r="P1057" s="3"/>
      <c r="Q1057" s="4"/>
      <c r="R1057" s="3"/>
      <c r="S1057" s="3"/>
      <c r="T1057" s="3"/>
      <c r="U1057" s="3"/>
    </row>
    <row r="1058">
      <c r="A1058" s="3"/>
      <c r="B1058" s="3"/>
      <c r="C1058" s="3"/>
      <c r="D1058" s="3"/>
      <c r="E1058" s="4"/>
      <c r="F1058" s="3"/>
      <c r="G1058" s="5"/>
      <c r="H1058" s="3"/>
      <c r="I1058" s="3"/>
      <c r="J1058" s="3"/>
      <c r="K1058" s="3"/>
      <c r="L1058" s="3"/>
      <c r="M1058" s="3"/>
      <c r="N1058" s="3"/>
      <c r="O1058" s="3"/>
      <c r="P1058" s="3"/>
      <c r="Q1058" s="4"/>
      <c r="R1058" s="3"/>
      <c r="S1058" s="3"/>
      <c r="T1058" s="3"/>
      <c r="U1058" s="3"/>
    </row>
    <row r="1059">
      <c r="A1059" s="3"/>
      <c r="B1059" s="3"/>
      <c r="C1059" s="3"/>
      <c r="D1059" s="3"/>
      <c r="E1059" s="4"/>
      <c r="F1059" s="3"/>
      <c r="G1059" s="5"/>
      <c r="H1059" s="3"/>
      <c r="I1059" s="3"/>
      <c r="J1059" s="3"/>
      <c r="K1059" s="3"/>
      <c r="L1059" s="3"/>
      <c r="M1059" s="3"/>
      <c r="N1059" s="3"/>
      <c r="O1059" s="3"/>
      <c r="P1059" s="3"/>
      <c r="Q1059" s="4"/>
      <c r="R1059" s="3"/>
      <c r="S1059" s="3"/>
      <c r="T1059" s="3"/>
      <c r="U1059" s="3"/>
    </row>
    <row r="1060">
      <c r="A1060" s="3"/>
      <c r="B1060" s="3"/>
      <c r="C1060" s="3"/>
      <c r="D1060" s="3"/>
      <c r="E1060" s="4"/>
      <c r="F1060" s="3"/>
      <c r="G1060" s="5"/>
      <c r="H1060" s="3"/>
      <c r="I1060" s="3"/>
      <c r="J1060" s="3"/>
      <c r="K1060" s="3"/>
      <c r="L1060" s="3"/>
      <c r="M1060" s="3"/>
      <c r="N1060" s="3"/>
      <c r="O1060" s="3"/>
      <c r="P1060" s="3"/>
      <c r="Q1060" s="4"/>
      <c r="R1060" s="3"/>
      <c r="S1060" s="3"/>
      <c r="T1060" s="3"/>
      <c r="U1060" s="3"/>
    </row>
    <row r="1061">
      <c r="A1061" s="3"/>
      <c r="B1061" s="3"/>
      <c r="C1061" s="3"/>
      <c r="D1061" s="3"/>
      <c r="E1061" s="4"/>
      <c r="F1061" s="3"/>
      <c r="G1061" s="5"/>
      <c r="H1061" s="3"/>
      <c r="I1061" s="3"/>
      <c r="J1061" s="3"/>
      <c r="K1061" s="3"/>
      <c r="L1061" s="3"/>
      <c r="M1061" s="3"/>
      <c r="N1061" s="3"/>
      <c r="O1061" s="3"/>
      <c r="P1061" s="3"/>
      <c r="Q1061" s="4"/>
      <c r="R1061" s="3"/>
      <c r="S1061" s="3"/>
      <c r="T1061" s="3"/>
      <c r="U1061" s="3"/>
    </row>
    <row r="1062">
      <c r="A1062" s="3"/>
      <c r="B1062" s="3"/>
      <c r="C1062" s="3"/>
      <c r="D1062" s="3"/>
      <c r="E1062" s="4"/>
      <c r="F1062" s="3"/>
      <c r="G1062" s="5"/>
      <c r="H1062" s="3"/>
      <c r="I1062" s="3"/>
      <c r="J1062" s="3"/>
      <c r="K1062" s="3"/>
      <c r="L1062" s="3"/>
      <c r="M1062" s="3"/>
      <c r="N1062" s="3"/>
      <c r="O1062" s="3"/>
      <c r="P1062" s="3"/>
      <c r="Q1062" s="4"/>
      <c r="R1062" s="3"/>
      <c r="S1062" s="3"/>
      <c r="T1062" s="3"/>
      <c r="U1062" s="3"/>
    </row>
    <row r="1063">
      <c r="A1063" s="3"/>
      <c r="B1063" s="3"/>
      <c r="C1063" s="3"/>
      <c r="D1063" s="3"/>
      <c r="E1063" s="4"/>
      <c r="F1063" s="3"/>
      <c r="G1063" s="5"/>
      <c r="H1063" s="3"/>
      <c r="I1063" s="3"/>
      <c r="J1063" s="3"/>
      <c r="K1063" s="3"/>
      <c r="L1063" s="3"/>
      <c r="M1063" s="3"/>
      <c r="N1063" s="3"/>
      <c r="O1063" s="3"/>
      <c r="P1063" s="3"/>
      <c r="Q1063" s="4"/>
      <c r="R1063" s="3"/>
      <c r="S1063" s="3"/>
      <c r="T1063" s="3"/>
      <c r="U1063" s="3"/>
    </row>
    <row r="1064">
      <c r="A1064" s="3"/>
      <c r="B1064" s="3"/>
      <c r="C1064" s="3"/>
      <c r="D1064" s="3"/>
      <c r="E1064" s="4"/>
      <c r="F1064" s="3"/>
      <c r="G1064" s="5"/>
      <c r="H1064" s="3"/>
      <c r="I1064" s="3"/>
      <c r="J1064" s="3"/>
      <c r="K1064" s="3"/>
      <c r="L1064" s="3"/>
      <c r="M1064" s="3"/>
      <c r="N1064" s="3"/>
      <c r="O1064" s="3"/>
      <c r="P1064" s="3"/>
      <c r="Q1064" s="4"/>
      <c r="R1064" s="3"/>
      <c r="S1064" s="3"/>
      <c r="T1064" s="3"/>
      <c r="U1064" s="3"/>
    </row>
    <row r="1065">
      <c r="A1065" s="3"/>
      <c r="B1065" s="3"/>
      <c r="C1065" s="3"/>
      <c r="D1065" s="3"/>
      <c r="E1065" s="4"/>
      <c r="F1065" s="3"/>
      <c r="G1065" s="5"/>
      <c r="H1065" s="3"/>
      <c r="I1065" s="3"/>
      <c r="J1065" s="3"/>
      <c r="K1065" s="3"/>
      <c r="L1065" s="3"/>
      <c r="M1065" s="3"/>
      <c r="N1065" s="3"/>
      <c r="O1065" s="3"/>
      <c r="P1065" s="3"/>
      <c r="Q1065" s="4"/>
      <c r="R1065" s="3"/>
      <c r="S1065" s="3"/>
      <c r="T1065" s="3"/>
      <c r="U1065" s="3"/>
    </row>
    <row r="1066">
      <c r="A1066" s="3"/>
      <c r="B1066" s="3"/>
      <c r="C1066" s="3"/>
      <c r="D1066" s="3"/>
      <c r="E1066" s="4"/>
      <c r="F1066" s="3"/>
      <c r="G1066" s="5"/>
      <c r="H1066" s="3"/>
      <c r="I1066" s="3"/>
      <c r="J1066" s="3"/>
      <c r="K1066" s="3"/>
      <c r="L1066" s="3"/>
      <c r="M1066" s="3"/>
      <c r="N1066" s="3"/>
      <c r="O1066" s="3"/>
      <c r="P1066" s="3"/>
      <c r="Q1066" s="4"/>
      <c r="R1066" s="3"/>
      <c r="S1066" s="3"/>
      <c r="T1066" s="3"/>
      <c r="U1066" s="3"/>
    </row>
    <row r="1067">
      <c r="A1067" s="3"/>
      <c r="B1067" s="3"/>
      <c r="C1067" s="3"/>
      <c r="D1067" s="3"/>
      <c r="E1067" s="4"/>
      <c r="F1067" s="3"/>
      <c r="G1067" s="5"/>
      <c r="H1067" s="3"/>
      <c r="I1067" s="3"/>
      <c r="J1067" s="3"/>
      <c r="K1067" s="3"/>
      <c r="L1067" s="3"/>
      <c r="M1067" s="3"/>
      <c r="N1067" s="3"/>
      <c r="O1067" s="3"/>
      <c r="P1067" s="3"/>
      <c r="Q1067" s="4"/>
      <c r="R1067" s="3"/>
      <c r="S1067" s="3"/>
      <c r="T1067" s="3"/>
      <c r="U1067" s="3"/>
    </row>
    <row r="1068">
      <c r="A1068" s="3"/>
      <c r="B1068" s="3"/>
      <c r="C1068" s="3"/>
      <c r="D1068" s="3"/>
      <c r="E1068" s="4"/>
      <c r="F1068" s="3"/>
      <c r="G1068" s="5"/>
      <c r="H1068" s="3"/>
      <c r="I1068" s="3"/>
      <c r="J1068" s="3"/>
      <c r="K1068" s="3"/>
      <c r="L1068" s="3"/>
      <c r="M1068" s="3"/>
      <c r="N1068" s="3"/>
      <c r="O1068" s="3"/>
      <c r="P1068" s="3"/>
      <c r="Q1068" s="4"/>
      <c r="R1068" s="3"/>
      <c r="S1068" s="3"/>
      <c r="T1068" s="3"/>
      <c r="U1068" s="3"/>
    </row>
    <row r="1069">
      <c r="A1069" s="3"/>
      <c r="B1069" s="3"/>
      <c r="C1069" s="3"/>
      <c r="D1069" s="3"/>
      <c r="E1069" s="4"/>
      <c r="F1069" s="3"/>
      <c r="G1069" s="5"/>
      <c r="H1069" s="3"/>
      <c r="I1069" s="3"/>
      <c r="J1069" s="3"/>
      <c r="K1069" s="3"/>
      <c r="L1069" s="3"/>
      <c r="M1069" s="3"/>
      <c r="N1069" s="3"/>
      <c r="O1069" s="3"/>
      <c r="P1069" s="3"/>
      <c r="Q1069" s="4"/>
      <c r="R1069" s="3"/>
      <c r="S1069" s="3"/>
      <c r="T1069" s="3"/>
      <c r="U1069" s="3"/>
    </row>
    <row r="1070">
      <c r="A1070" s="3"/>
      <c r="B1070" s="3"/>
      <c r="C1070" s="3"/>
      <c r="D1070" s="3"/>
      <c r="E1070" s="4"/>
      <c r="F1070" s="3"/>
      <c r="G1070" s="5"/>
      <c r="H1070" s="3"/>
      <c r="I1070" s="3"/>
      <c r="J1070" s="3"/>
      <c r="K1070" s="3"/>
      <c r="L1070" s="3"/>
      <c r="M1070" s="3"/>
      <c r="N1070" s="3"/>
      <c r="O1070" s="3"/>
      <c r="P1070" s="3"/>
      <c r="Q1070" s="4"/>
      <c r="R1070" s="3"/>
      <c r="S1070" s="3"/>
      <c r="T1070" s="3"/>
      <c r="U1070" s="3"/>
    </row>
    <row r="1071">
      <c r="A1071" s="3"/>
      <c r="B1071" s="3"/>
      <c r="C1071" s="3"/>
      <c r="D1071" s="3"/>
      <c r="E1071" s="4"/>
      <c r="F1071" s="3"/>
      <c r="G1071" s="5"/>
      <c r="H1071" s="3"/>
      <c r="I1071" s="3"/>
      <c r="J1071" s="3"/>
      <c r="K1071" s="3"/>
      <c r="L1071" s="3"/>
      <c r="M1071" s="3"/>
      <c r="N1071" s="3"/>
      <c r="O1071" s="3"/>
      <c r="P1071" s="3"/>
      <c r="Q1071" s="4"/>
      <c r="R1071" s="3"/>
      <c r="S1071" s="3"/>
      <c r="T1071" s="3"/>
      <c r="U1071" s="3"/>
    </row>
    <row r="1072">
      <c r="A1072" s="3"/>
      <c r="B1072" s="3"/>
      <c r="C1072" s="3"/>
      <c r="D1072" s="3"/>
      <c r="E1072" s="4"/>
      <c r="F1072" s="3"/>
      <c r="G1072" s="5"/>
      <c r="H1072" s="3"/>
      <c r="I1072" s="3"/>
      <c r="J1072" s="3"/>
      <c r="K1072" s="3"/>
      <c r="L1072" s="3"/>
      <c r="M1072" s="3"/>
      <c r="N1072" s="3"/>
      <c r="O1072" s="3"/>
      <c r="P1072" s="3"/>
      <c r="Q1072" s="4"/>
      <c r="R1072" s="3"/>
      <c r="S1072" s="3"/>
      <c r="T1072" s="3"/>
      <c r="U1072" s="3"/>
    </row>
    <row r="1073">
      <c r="A1073" s="3"/>
      <c r="B1073" s="3"/>
      <c r="C1073" s="3"/>
      <c r="D1073" s="3"/>
      <c r="E1073" s="4"/>
      <c r="F1073" s="3"/>
      <c r="G1073" s="5"/>
      <c r="H1073" s="3"/>
      <c r="I1073" s="3"/>
      <c r="J1073" s="3"/>
      <c r="K1073" s="3"/>
      <c r="L1073" s="3"/>
      <c r="M1073" s="3"/>
      <c r="N1073" s="3"/>
      <c r="O1073" s="3"/>
      <c r="P1073" s="3"/>
      <c r="Q1073" s="4"/>
      <c r="R1073" s="3"/>
      <c r="S1073" s="3"/>
      <c r="T1073" s="3"/>
      <c r="U1073" s="3"/>
    </row>
    <row r="1074">
      <c r="A1074" s="3"/>
      <c r="B1074" s="3"/>
      <c r="C1074" s="3"/>
      <c r="D1074" s="3"/>
      <c r="E1074" s="4"/>
      <c r="F1074" s="3"/>
      <c r="G1074" s="5"/>
      <c r="H1074" s="3"/>
      <c r="I1074" s="3"/>
      <c r="J1074" s="3"/>
      <c r="K1074" s="3"/>
      <c r="L1074" s="3"/>
      <c r="M1074" s="3"/>
      <c r="N1074" s="3"/>
      <c r="O1074" s="3"/>
      <c r="P1074" s="3"/>
      <c r="Q1074" s="4"/>
      <c r="R1074" s="3"/>
      <c r="S1074" s="3"/>
      <c r="T1074" s="3"/>
      <c r="U1074" s="3"/>
    </row>
    <row r="1075">
      <c r="A1075" s="3"/>
      <c r="B1075" s="3"/>
      <c r="C1075" s="3"/>
      <c r="D1075" s="3"/>
      <c r="E1075" s="4"/>
      <c r="F1075" s="3"/>
      <c r="G1075" s="5"/>
      <c r="H1075" s="3"/>
      <c r="I1075" s="3"/>
      <c r="J1075" s="3"/>
      <c r="K1075" s="3"/>
      <c r="L1075" s="3"/>
      <c r="M1075" s="3"/>
      <c r="N1075" s="3"/>
      <c r="O1075" s="3"/>
      <c r="P1075" s="3"/>
      <c r="Q1075" s="4"/>
      <c r="R1075" s="3"/>
      <c r="S1075" s="3"/>
      <c r="T1075" s="3"/>
      <c r="U1075" s="3"/>
    </row>
    <row r="1076">
      <c r="A1076" s="3"/>
      <c r="B1076" s="3"/>
      <c r="C1076" s="3"/>
      <c r="D1076" s="3"/>
      <c r="E1076" s="4"/>
      <c r="F1076" s="3"/>
      <c r="G1076" s="5"/>
      <c r="H1076" s="3"/>
      <c r="I1076" s="3"/>
      <c r="J1076" s="3"/>
      <c r="K1076" s="3"/>
      <c r="L1076" s="3"/>
      <c r="M1076" s="3"/>
      <c r="N1076" s="3"/>
      <c r="O1076" s="3"/>
      <c r="P1076" s="3"/>
      <c r="S1076" s="3"/>
      <c r="T1076" s="3"/>
      <c r="U1076" s="3"/>
    </row>
    <row r="1077">
      <c r="A1077" s="3"/>
      <c r="B1077" s="3"/>
      <c r="C1077" s="3"/>
      <c r="D1077" s="3"/>
      <c r="E1077" s="4"/>
      <c r="F1077" s="3"/>
      <c r="G1077" s="5"/>
      <c r="H1077" s="3"/>
      <c r="I1077" s="3"/>
      <c r="J1077" s="3"/>
      <c r="K1077" s="3"/>
      <c r="L1077" s="3"/>
      <c r="M1077" s="3"/>
      <c r="N1077" s="3"/>
      <c r="O1077" s="3"/>
      <c r="P1077" s="3"/>
      <c r="S1077" s="3"/>
      <c r="T1077" s="3"/>
      <c r="U1077" s="3"/>
    </row>
    <row r="1078">
      <c r="A1078" s="3"/>
      <c r="B1078" s="3"/>
      <c r="C1078" s="3"/>
      <c r="D1078" s="3"/>
      <c r="E1078" s="4"/>
      <c r="F1078" s="3"/>
      <c r="G1078" s="5"/>
      <c r="H1078" s="3"/>
      <c r="I1078" s="3"/>
      <c r="J1078" s="3"/>
      <c r="K1078" s="3"/>
      <c r="L1078" s="3"/>
      <c r="M1078" s="3"/>
      <c r="N1078" s="3"/>
      <c r="O1078" s="3"/>
      <c r="P1078" s="3"/>
      <c r="S1078" s="3"/>
      <c r="T1078" s="3"/>
      <c r="U1078" s="3"/>
    </row>
  </sheetData>
  <mergeCells count="2">
    <mergeCell ref="B1:C1"/>
    <mergeCell ref="E128:F128"/>
  </mergeCells>
  <conditionalFormatting sqref="J19">
    <cfRule type="cellIs" dxfId="0" priority="1" operator="lessThan">
      <formula>0</formula>
    </cfRule>
  </conditionalFormatting>
  <conditionalFormatting sqref="J19">
    <cfRule type="cellIs" dxfId="1" priority="2" operator="greaterThan">
      <formula>0</formula>
    </cfRule>
  </conditionalFormatting>
  <conditionalFormatting sqref="J19">
    <cfRule type="cellIs" dxfId="1" priority="3" operator="greaterThan">
      <formula>0</formula>
    </cfRule>
  </conditionalFormatting>
  <conditionalFormatting sqref="J19">
    <cfRule type="cellIs" dxfId="1" priority="4" operator="greaterThan">
      <formula>0</formula>
    </cfRule>
  </conditionalFormatting>
  <conditionalFormatting sqref="J45:J75">
    <cfRule type="expression" dxfId="0" priority="5">
      <formula>J45&gt;$L$45</formula>
    </cfRule>
  </conditionalFormatting>
  <dataValidations>
    <dataValidation type="list" allowBlank="1" showErrorMessage="1" sqref="B25:B26">
      <formula1>"ChatGPT,iCloud Storage,Nuro Hikari,Spotify,House Rent,Tuition,Rakuten Mobile,YouTube Premium,Electricity,Water Server,Water"</formula1>
    </dataValidation>
    <dataValidation type="list" allowBlank="1" showErrorMessage="1" sqref="B5">
      <formula1>"Salary,Allowance"</formula1>
    </dataValidation>
    <dataValidation type="list" allowBlank="1" showErrorMessage="1" sqref="B18:B24">
      <formula1>"ChatGPT,iCloud Storage,Nuro Hikari,Spotify,House Rent,Tuition,Rakuten Mobile,YouTube Premium,Electricity,Water"</formula1>
    </dataValidation>
    <dataValidation type="list" allowBlank="1" showErrorMessage="1" sqref="E5:E127">
      <formula1>'26Sep'!$I$45:$I$75</formula1>
    </dataValidation>
    <dataValidation type="list" allowBlank="1" showErrorMessage="1" sqref="L5:L17 F5:F127">
      <formula1>"🚇 Suica,🍔 Eat Out,🛒 Grocery,🏪 Konbini,💊 Medical,🤩 Friends,🏔️ Leisure,🧴 Beauty,👘 Fashion,📖 Learning"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8" max="8" width="3.5"/>
    <col customWidth="1" min="9" max="9" width="19.0"/>
    <col customWidth="1" min="10" max="10" width="11.13"/>
    <col customWidth="1" min="11" max="11" width="9.88"/>
    <col customWidth="1" min="12" max="12" width="16.38"/>
    <col customWidth="1" min="13" max="13" width="12.88"/>
    <col customWidth="1" min="14" max="14" width="10.0"/>
    <col customWidth="1" min="17" max="17" width="14.38"/>
  </cols>
  <sheetData>
    <row r="1">
      <c r="A1" s="1"/>
      <c r="B1" s="2">
        <v>46296.0</v>
      </c>
      <c r="D1" s="3"/>
      <c r="E1" s="3"/>
      <c r="F1" s="3"/>
      <c r="G1" s="5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</row>
    <row r="2">
      <c r="A2" s="3"/>
      <c r="B2" s="3"/>
      <c r="C2" s="3"/>
      <c r="D2" s="3"/>
      <c r="E2" s="4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4"/>
      <c r="R2" s="3"/>
      <c r="S2" s="3"/>
      <c r="T2" s="3"/>
      <c r="U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3"/>
      <c r="I3" s="6" t="s">
        <v>2</v>
      </c>
      <c r="J3" s="3"/>
      <c r="K3" s="3"/>
      <c r="L3" s="85" t="s">
        <v>47</v>
      </c>
      <c r="M3" s="3"/>
      <c r="N3" s="3"/>
      <c r="O3" s="3"/>
      <c r="P3" s="3"/>
      <c r="S3" s="3"/>
      <c r="T3" s="3"/>
      <c r="U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3"/>
      <c r="I4" s="11" t="s">
        <v>7</v>
      </c>
      <c r="J4" s="12">
        <f>C14</f>
        <v>640820</v>
      </c>
      <c r="K4" s="3"/>
      <c r="L4" s="9" t="s">
        <v>3</v>
      </c>
      <c r="M4" s="86" t="s">
        <v>4</v>
      </c>
      <c r="N4" s="3"/>
      <c r="O4" s="3"/>
      <c r="P4" s="3"/>
      <c r="S4" s="3"/>
      <c r="T4" s="3"/>
      <c r="U4" s="3"/>
    </row>
    <row r="5">
      <c r="A5" s="3"/>
      <c r="B5" s="13" t="s">
        <v>8</v>
      </c>
      <c r="C5" s="14">
        <v>640820.0</v>
      </c>
      <c r="D5" s="3"/>
      <c r="E5" s="15">
        <v>46290.0</v>
      </c>
      <c r="F5" s="16" t="s">
        <v>13</v>
      </c>
      <c r="G5" s="17">
        <v>1237.0</v>
      </c>
      <c r="H5" s="3"/>
      <c r="I5" s="19" t="s">
        <v>10</v>
      </c>
      <c r="J5" s="20">
        <f>G128+C39+M18</f>
        <v>222141</v>
      </c>
      <c r="K5" s="3"/>
      <c r="L5" s="87" t="s">
        <v>28</v>
      </c>
      <c r="M5" s="23">
        <v>13500.0</v>
      </c>
      <c r="N5" s="3"/>
      <c r="O5" s="3"/>
      <c r="P5" s="3"/>
      <c r="S5" s="3"/>
      <c r="T5" s="3"/>
      <c r="U5" s="3"/>
    </row>
    <row r="6">
      <c r="A6" s="3"/>
      <c r="B6" s="21"/>
      <c r="C6" s="22"/>
      <c r="D6" s="3"/>
      <c r="E6" s="15">
        <v>46290.0</v>
      </c>
      <c r="F6" s="16" t="s">
        <v>16</v>
      </c>
      <c r="G6" s="23">
        <v>3898.0</v>
      </c>
      <c r="H6" s="3"/>
      <c r="I6" s="24" t="s">
        <v>12</v>
      </c>
      <c r="J6" s="25">
        <f>J4-J5</f>
        <v>418679</v>
      </c>
      <c r="K6" s="3"/>
      <c r="L6" s="87"/>
      <c r="M6" s="23"/>
      <c r="N6" s="3"/>
      <c r="O6" s="3"/>
      <c r="P6" s="3"/>
      <c r="S6" s="3"/>
      <c r="T6" s="3"/>
      <c r="U6" s="3"/>
    </row>
    <row r="7">
      <c r="A7" s="3"/>
      <c r="B7" s="21"/>
      <c r="C7" s="26"/>
      <c r="D7" s="3"/>
      <c r="E7" s="15">
        <v>46291.0</v>
      </c>
      <c r="F7" s="16" t="s">
        <v>13</v>
      </c>
      <c r="G7" s="23">
        <v>232.0</v>
      </c>
      <c r="H7" s="3"/>
      <c r="I7" s="1"/>
      <c r="J7" s="27"/>
      <c r="K7" s="3"/>
      <c r="L7" s="87"/>
      <c r="M7" s="23"/>
      <c r="N7" s="3"/>
      <c r="O7" s="3"/>
      <c r="P7" s="3"/>
      <c r="S7" s="3"/>
      <c r="T7" s="3"/>
      <c r="U7" s="3"/>
    </row>
    <row r="8">
      <c r="A8" s="3"/>
      <c r="B8" s="21"/>
      <c r="C8" s="26"/>
      <c r="D8" s="3"/>
      <c r="E8" s="15">
        <v>46292.0</v>
      </c>
      <c r="F8" s="16" t="s">
        <v>17</v>
      </c>
      <c r="G8" s="23">
        <v>500.0</v>
      </c>
      <c r="H8" s="3"/>
      <c r="I8" s="6" t="s">
        <v>15</v>
      </c>
      <c r="J8" s="27"/>
      <c r="K8" s="3"/>
      <c r="L8" s="87"/>
      <c r="M8" s="23"/>
      <c r="N8" s="3"/>
      <c r="O8" s="3"/>
      <c r="P8" s="3"/>
      <c r="S8" s="3"/>
      <c r="T8" s="3"/>
      <c r="U8" s="3"/>
    </row>
    <row r="9">
      <c r="A9" s="3"/>
      <c r="B9" s="21"/>
      <c r="C9" s="26"/>
      <c r="D9" s="3"/>
      <c r="E9" s="15">
        <v>46292.0</v>
      </c>
      <c r="F9" s="16" t="s">
        <v>17</v>
      </c>
      <c r="G9" s="23">
        <v>1000.0</v>
      </c>
      <c r="H9" s="3"/>
      <c r="I9" s="28" t="s">
        <v>18</v>
      </c>
      <c r="J9" s="29">
        <f>EDATE(B1,-1) + 24</f>
        <v>46290</v>
      </c>
      <c r="K9" s="3"/>
      <c r="L9" s="87"/>
      <c r="M9" s="23"/>
      <c r="N9" s="30"/>
      <c r="O9" s="3"/>
      <c r="P9" s="3"/>
      <c r="S9" s="3"/>
      <c r="T9" s="3"/>
      <c r="U9" s="3"/>
    </row>
    <row r="10">
      <c r="A10" s="3"/>
      <c r="B10" s="21"/>
      <c r="C10" s="26"/>
      <c r="D10" s="3"/>
      <c r="E10" s="15">
        <v>46292.0</v>
      </c>
      <c r="F10" s="16" t="s">
        <v>11</v>
      </c>
      <c r="G10" s="23">
        <v>3790.0</v>
      </c>
      <c r="H10" s="3"/>
      <c r="I10" s="28" t="s">
        <v>19</v>
      </c>
      <c r="J10" s="31">
        <f>EDATE(B1,0) + 23</f>
        <v>46319</v>
      </c>
      <c r="K10" s="3"/>
      <c r="L10" s="87"/>
      <c r="M10" s="23"/>
      <c r="N10" s="3"/>
      <c r="O10" s="3"/>
      <c r="P10" s="3"/>
      <c r="S10" s="3"/>
      <c r="T10" s="3"/>
      <c r="U10" s="3"/>
    </row>
    <row r="11">
      <c r="A11" s="3"/>
      <c r="B11" s="21"/>
      <c r="C11" s="26"/>
      <c r="D11" s="3"/>
      <c r="E11" s="15">
        <v>46292.0</v>
      </c>
      <c r="F11" s="16" t="s">
        <v>9</v>
      </c>
      <c r="G11" s="23">
        <v>1000.0</v>
      </c>
      <c r="H11" s="3"/>
      <c r="I11" s="28" t="s">
        <v>20</v>
      </c>
      <c r="J11" s="31">
        <f>TODAY()</f>
        <v>46324</v>
      </c>
      <c r="K11" s="3"/>
      <c r="L11" s="87"/>
      <c r="M11" s="23"/>
      <c r="N11" s="3"/>
      <c r="O11" s="3"/>
      <c r="P11" s="3"/>
      <c r="S11" s="3"/>
      <c r="T11" s="3"/>
      <c r="U11" s="3"/>
    </row>
    <row r="12">
      <c r="A12" s="3"/>
      <c r="B12" s="21"/>
      <c r="C12" s="26"/>
      <c r="D12" s="3"/>
      <c r="E12" s="15">
        <v>46292.0</v>
      </c>
      <c r="F12" s="16" t="s">
        <v>28</v>
      </c>
      <c r="G12" s="23">
        <v>4020.0</v>
      </c>
      <c r="H12" s="3"/>
      <c r="I12" s="28" t="s">
        <v>21</v>
      </c>
      <c r="J12" s="32">
        <f>IF(AND(J11 &gt;= J9, J11 &lt;= J10), DATEDIF(J11,J10,"D") + 1, 0)</f>
        <v>0</v>
      </c>
      <c r="K12" s="3"/>
      <c r="L12" s="87"/>
      <c r="M12" s="23"/>
      <c r="N12" s="3"/>
      <c r="O12" s="3"/>
      <c r="P12" s="3"/>
      <c r="S12" s="3"/>
      <c r="T12" s="3"/>
      <c r="U12" s="3"/>
    </row>
    <row r="13">
      <c r="A13" s="3"/>
      <c r="B13" s="21"/>
      <c r="C13" s="26"/>
      <c r="D13" s="3"/>
      <c r="E13" s="15">
        <v>46292.0</v>
      </c>
      <c r="F13" s="16" t="s">
        <v>11</v>
      </c>
      <c r="G13" s="23">
        <v>4686.0</v>
      </c>
      <c r="H13" s="3"/>
      <c r="I13" s="33" t="s">
        <v>22</v>
      </c>
      <c r="J13" s="84">
        <v>400000.0</v>
      </c>
      <c r="K13" s="3"/>
      <c r="L13" s="87"/>
      <c r="M13" s="23"/>
      <c r="N13" s="3"/>
      <c r="O13" s="3"/>
      <c r="P13" s="3"/>
      <c r="S13" s="3"/>
      <c r="T13" s="3"/>
      <c r="U13" s="3"/>
    </row>
    <row r="14">
      <c r="A14" s="3"/>
      <c r="B14" s="35" t="s">
        <v>23</v>
      </c>
      <c r="C14" s="36">
        <f>SUM(C5:C13)</f>
        <v>640820</v>
      </c>
      <c r="D14" s="3"/>
      <c r="E14" s="15">
        <v>46292.0</v>
      </c>
      <c r="F14" s="16" t="s">
        <v>13</v>
      </c>
      <c r="G14" s="23">
        <v>723.0</v>
      </c>
      <c r="H14" s="3"/>
      <c r="I14" s="37" t="s">
        <v>24</v>
      </c>
      <c r="J14" s="38">
        <f>J6-J13</f>
        <v>18679</v>
      </c>
      <c r="K14" s="3"/>
      <c r="L14" s="87"/>
      <c r="M14" s="23"/>
      <c r="N14" s="3"/>
      <c r="O14" s="3"/>
      <c r="P14" s="3"/>
      <c r="S14" s="3"/>
      <c r="T14" s="3"/>
      <c r="U14" s="3"/>
    </row>
    <row r="15">
      <c r="A15" s="3"/>
      <c r="B15" s="3"/>
      <c r="C15" s="3"/>
      <c r="D15" s="3"/>
      <c r="E15" s="15">
        <v>46293.0</v>
      </c>
      <c r="F15" s="16" t="s">
        <v>17</v>
      </c>
      <c r="G15" s="23">
        <v>1000.0</v>
      </c>
      <c r="H15" s="3"/>
      <c r="I15" s="39" t="s">
        <v>25</v>
      </c>
      <c r="J15" s="40">
        <f>IF(J12 &gt; 0, J14 / J12, 0)</f>
        <v>0</v>
      </c>
      <c r="K15" s="3"/>
      <c r="L15" s="87"/>
      <c r="M15" s="23"/>
      <c r="N15" s="3"/>
      <c r="O15" s="3"/>
      <c r="P15" s="3"/>
      <c r="S15" s="3"/>
      <c r="T15" s="3"/>
      <c r="U15" s="3"/>
    </row>
    <row r="16">
      <c r="A16" s="3"/>
      <c r="B16" s="6" t="s">
        <v>26</v>
      </c>
      <c r="C16" s="3"/>
      <c r="D16" s="3"/>
      <c r="E16" s="15">
        <v>46293.0</v>
      </c>
      <c r="F16" s="16" t="s">
        <v>11</v>
      </c>
      <c r="G16" s="23">
        <v>389.0</v>
      </c>
      <c r="H16" s="3"/>
      <c r="I16" s="3"/>
      <c r="J16" s="3"/>
      <c r="K16" s="3"/>
      <c r="L16" s="87"/>
      <c r="M16" s="23"/>
      <c r="N16" s="3"/>
      <c r="O16" s="3"/>
      <c r="P16" s="3"/>
      <c r="S16" s="3"/>
      <c r="T16" s="3"/>
      <c r="U16" s="3"/>
    </row>
    <row r="17">
      <c r="A17" s="3"/>
      <c r="B17" s="41" t="s">
        <v>3</v>
      </c>
      <c r="C17" s="41" t="s">
        <v>4</v>
      </c>
      <c r="D17" s="3"/>
      <c r="E17" s="15">
        <v>46293.0</v>
      </c>
      <c r="F17" s="16" t="s">
        <v>11</v>
      </c>
      <c r="G17" s="23">
        <v>3340.0</v>
      </c>
      <c r="H17" s="3"/>
      <c r="I17" s="42" t="s">
        <v>27</v>
      </c>
      <c r="J17" s="3"/>
      <c r="K17" s="3"/>
      <c r="L17" s="87"/>
      <c r="M17" s="23"/>
      <c r="N17" s="3"/>
      <c r="O17" s="3"/>
      <c r="P17" s="3"/>
      <c r="S17" s="3"/>
      <c r="T17" s="3"/>
      <c r="U17" s="3"/>
    </row>
    <row r="18">
      <c r="A18" s="3"/>
      <c r="B18" s="43" t="s">
        <v>29</v>
      </c>
      <c r="C18" s="52">
        <v>0.0</v>
      </c>
      <c r="D18" s="3"/>
      <c r="E18" s="15">
        <v>46293.0</v>
      </c>
      <c r="F18" s="16" t="s">
        <v>13</v>
      </c>
      <c r="G18" s="23">
        <v>267.0</v>
      </c>
      <c r="H18" s="3"/>
      <c r="I18" s="11" t="s">
        <v>30</v>
      </c>
      <c r="J18" s="45">
        <f>SUMIF(E5:E127, TODAY(), G5:G127)</f>
        <v>0</v>
      </c>
      <c r="K18" s="3"/>
      <c r="L18" s="88" t="s">
        <v>23</v>
      </c>
      <c r="M18" s="89">
        <f>SUM(M5:M17)</f>
        <v>13500</v>
      </c>
      <c r="N18" s="3"/>
      <c r="O18" s="3"/>
      <c r="P18" s="3"/>
      <c r="S18" s="3"/>
      <c r="T18" s="3"/>
      <c r="U18" s="3"/>
    </row>
    <row r="19">
      <c r="A19" s="3"/>
      <c r="B19" s="43" t="s">
        <v>31</v>
      </c>
      <c r="C19" s="52">
        <v>47480.0</v>
      </c>
      <c r="D19" s="3"/>
      <c r="E19" s="15">
        <v>46292.0</v>
      </c>
      <c r="F19" s="16" t="s">
        <v>40</v>
      </c>
      <c r="G19" s="23">
        <v>225.0</v>
      </c>
      <c r="H19" s="3"/>
      <c r="I19" s="46" t="s">
        <v>32</v>
      </c>
      <c r="J19" s="47">
        <f>J15-J18</f>
        <v>0</v>
      </c>
      <c r="K19" s="3"/>
      <c r="L19" s="88" t="s">
        <v>48</v>
      </c>
      <c r="M19" s="89">
        <f>M18/(J10-J9)</f>
        <v>465.5172414</v>
      </c>
      <c r="N19" s="3"/>
      <c r="O19" s="3"/>
      <c r="P19" s="3"/>
      <c r="S19" s="3"/>
      <c r="T19" s="3"/>
      <c r="U19" s="3"/>
    </row>
    <row r="20">
      <c r="A20" s="3"/>
      <c r="B20" s="43" t="s">
        <v>33</v>
      </c>
      <c r="C20" s="52">
        <v>540.0</v>
      </c>
      <c r="D20" s="3"/>
      <c r="E20" s="15">
        <v>46294.0</v>
      </c>
      <c r="F20" s="16" t="s">
        <v>11</v>
      </c>
      <c r="G20" s="23">
        <v>1330.0</v>
      </c>
      <c r="H20" s="3"/>
      <c r="I20" s="3"/>
      <c r="J20" s="3"/>
      <c r="K20" s="3"/>
      <c r="L20" s="3"/>
      <c r="M20" s="3"/>
      <c r="N20" s="3"/>
      <c r="O20" s="3"/>
      <c r="P20" s="3"/>
      <c r="S20" s="3"/>
      <c r="T20" s="3"/>
      <c r="U20" s="3"/>
    </row>
    <row r="21">
      <c r="A21" s="3"/>
      <c r="B21" s="43" t="s">
        <v>34</v>
      </c>
      <c r="C21" s="44">
        <v>2700.0</v>
      </c>
      <c r="D21" s="3"/>
      <c r="E21" s="15">
        <v>46294.0</v>
      </c>
      <c r="F21" s="16" t="s">
        <v>11</v>
      </c>
      <c r="G21" s="23">
        <v>2862.0</v>
      </c>
      <c r="H21" s="3"/>
      <c r="I21" s="3"/>
      <c r="J21" s="3"/>
      <c r="K21" s="3"/>
      <c r="L21" s="3"/>
      <c r="M21" s="3"/>
      <c r="N21" s="3"/>
      <c r="O21" s="3"/>
      <c r="P21" s="3"/>
      <c r="S21" s="3"/>
      <c r="T21" s="3"/>
      <c r="U21" s="3"/>
    </row>
    <row r="22">
      <c r="A22" s="3"/>
      <c r="B22" s="48" t="s">
        <v>49</v>
      </c>
      <c r="C22" s="49">
        <v>760.0</v>
      </c>
      <c r="D22" s="3"/>
      <c r="E22" s="15">
        <v>46294.0</v>
      </c>
      <c r="F22" s="16" t="s">
        <v>17</v>
      </c>
      <c r="G22" s="23">
        <v>300.0</v>
      </c>
      <c r="H22" s="3"/>
      <c r="I22" s="3"/>
      <c r="J22" s="3"/>
      <c r="K22" s="3"/>
      <c r="L22" s="3"/>
      <c r="M22" s="3"/>
      <c r="N22" s="3"/>
      <c r="O22" s="3"/>
      <c r="P22" s="3"/>
      <c r="Q22" s="4"/>
      <c r="R22" s="3"/>
      <c r="S22" s="3"/>
      <c r="T22" s="3"/>
      <c r="U22" s="3"/>
    </row>
    <row r="23">
      <c r="A23" s="3"/>
      <c r="B23" s="51" t="s">
        <v>37</v>
      </c>
      <c r="C23" s="52">
        <v>13127.0</v>
      </c>
      <c r="D23" s="3"/>
      <c r="E23" s="50">
        <v>46295.0</v>
      </c>
      <c r="F23" s="16" t="s">
        <v>13</v>
      </c>
      <c r="G23" s="23">
        <v>730.0</v>
      </c>
      <c r="H23" s="3"/>
      <c r="I23" s="3"/>
      <c r="J23" s="3"/>
      <c r="K23" s="3"/>
      <c r="L23" s="3"/>
      <c r="M23" s="3"/>
      <c r="N23" s="3"/>
      <c r="O23" s="3"/>
      <c r="P23" s="3"/>
      <c r="Q23" s="4"/>
      <c r="R23" s="3"/>
      <c r="S23" s="3"/>
      <c r="T23" s="3"/>
      <c r="U23" s="3"/>
    </row>
    <row r="24">
      <c r="A24" s="3"/>
      <c r="B24" s="51" t="s">
        <v>38</v>
      </c>
      <c r="C24" s="52">
        <v>2680.0</v>
      </c>
      <c r="D24" s="3"/>
      <c r="E24" s="15">
        <v>46295.0</v>
      </c>
      <c r="F24" s="16" t="s">
        <v>16</v>
      </c>
      <c r="G24" s="23">
        <v>4218.0</v>
      </c>
      <c r="H24" s="3"/>
      <c r="I24" s="3"/>
      <c r="J24" s="3"/>
      <c r="K24" s="3"/>
      <c r="L24" s="3"/>
      <c r="M24" s="3"/>
      <c r="N24" s="3"/>
      <c r="O24" s="3"/>
      <c r="P24" s="3"/>
      <c r="Q24" s="4"/>
      <c r="R24" s="3"/>
      <c r="S24" s="3"/>
      <c r="T24" s="3"/>
      <c r="U24" s="3"/>
    </row>
    <row r="25">
      <c r="A25" s="3"/>
      <c r="B25" s="48" t="s">
        <v>39</v>
      </c>
      <c r="C25" s="54">
        <v>2000.0</v>
      </c>
      <c r="D25" s="3"/>
      <c r="E25" s="15">
        <v>46296.0</v>
      </c>
      <c r="F25" s="16" t="s">
        <v>13</v>
      </c>
      <c r="G25" s="53">
        <v>230.0</v>
      </c>
      <c r="H25" s="3"/>
      <c r="I25" s="3"/>
      <c r="J25" s="3"/>
      <c r="K25" s="3"/>
      <c r="L25" s="3"/>
      <c r="M25" s="3"/>
      <c r="N25" s="3"/>
      <c r="O25" s="3"/>
      <c r="P25" s="3"/>
      <c r="Q25" s="4"/>
      <c r="R25" s="3"/>
      <c r="S25" s="3"/>
      <c r="T25" s="3"/>
      <c r="U25" s="3"/>
    </row>
    <row r="26">
      <c r="A26" s="3"/>
      <c r="B26" s="48" t="s">
        <v>50</v>
      </c>
      <c r="C26" s="90">
        <v>1290.0</v>
      </c>
      <c r="D26" s="3"/>
      <c r="E26" s="15">
        <v>46296.0</v>
      </c>
      <c r="F26" s="16" t="s">
        <v>16</v>
      </c>
      <c r="G26" s="23">
        <v>891.0</v>
      </c>
      <c r="H26" s="3"/>
      <c r="I26" s="3"/>
      <c r="J26" s="3"/>
      <c r="K26" s="3"/>
      <c r="L26" s="3"/>
      <c r="M26" s="3"/>
      <c r="N26" s="3"/>
      <c r="O26" s="3"/>
      <c r="P26" s="3"/>
      <c r="Q26" s="4"/>
      <c r="R26" s="3"/>
      <c r="S26" s="3"/>
      <c r="T26" s="3"/>
      <c r="U26" s="3"/>
    </row>
    <row r="27">
      <c r="A27" s="3"/>
      <c r="B27" s="43"/>
      <c r="C27" s="57"/>
      <c r="D27" s="3"/>
      <c r="E27" s="15">
        <v>46297.0</v>
      </c>
      <c r="F27" s="16" t="s">
        <v>11</v>
      </c>
      <c r="G27" s="23">
        <v>1100.0</v>
      </c>
      <c r="H27" s="3"/>
      <c r="I27" s="3"/>
      <c r="J27" s="3"/>
      <c r="K27" s="3"/>
      <c r="L27" s="3"/>
      <c r="M27" s="3"/>
      <c r="N27" s="3"/>
      <c r="O27" s="3"/>
      <c r="P27" s="3"/>
      <c r="Q27" s="4"/>
      <c r="R27" s="3"/>
      <c r="S27" s="3"/>
      <c r="T27" s="3"/>
      <c r="U27" s="3"/>
    </row>
    <row r="28">
      <c r="A28" s="3"/>
      <c r="B28" s="43"/>
      <c r="C28" s="57"/>
      <c r="D28" s="3"/>
      <c r="E28" s="15">
        <v>46297.0</v>
      </c>
      <c r="F28" s="16" t="s">
        <v>41</v>
      </c>
      <c r="G28" s="23">
        <v>2950.0</v>
      </c>
      <c r="H28" s="3"/>
      <c r="I28" s="3"/>
      <c r="J28" s="3"/>
      <c r="K28" s="3"/>
      <c r="L28" s="3"/>
      <c r="M28" s="3"/>
      <c r="N28" s="3"/>
      <c r="O28" s="3"/>
      <c r="P28" s="3"/>
      <c r="Q28" s="4"/>
      <c r="R28" s="3"/>
      <c r="S28" s="3"/>
      <c r="T28" s="3"/>
      <c r="U28" s="3"/>
    </row>
    <row r="29">
      <c r="A29" s="3"/>
      <c r="B29" s="43"/>
      <c r="C29" s="57"/>
      <c r="D29" s="3"/>
      <c r="E29" s="15">
        <v>46298.0</v>
      </c>
      <c r="F29" s="16" t="s">
        <v>17</v>
      </c>
      <c r="G29" s="23">
        <v>1000.0</v>
      </c>
      <c r="H29" s="3"/>
      <c r="I29" s="3"/>
      <c r="J29" s="3"/>
      <c r="K29" s="3"/>
      <c r="L29" s="3"/>
      <c r="M29" s="3"/>
      <c r="N29" s="3"/>
      <c r="O29" s="3"/>
      <c r="P29" s="3"/>
      <c r="Q29" s="4"/>
      <c r="R29" s="3"/>
      <c r="S29" s="3"/>
      <c r="T29" s="3"/>
      <c r="U29" s="3"/>
    </row>
    <row r="30">
      <c r="A30" s="3"/>
      <c r="B30" s="43"/>
      <c r="C30" s="57"/>
      <c r="D30" s="3"/>
      <c r="E30" s="15">
        <v>46298.0</v>
      </c>
      <c r="F30" s="16" t="s">
        <v>11</v>
      </c>
      <c r="G30" s="23">
        <v>350.0</v>
      </c>
      <c r="H30" s="3"/>
      <c r="I30" s="3"/>
      <c r="J30" s="3"/>
      <c r="K30" s="3"/>
      <c r="L30" s="3"/>
      <c r="M30" s="3"/>
      <c r="N30" s="3"/>
      <c r="O30" s="3"/>
      <c r="P30" s="3"/>
      <c r="Q30" s="4"/>
      <c r="R30" s="3"/>
      <c r="S30" s="3"/>
      <c r="T30" s="3"/>
      <c r="U30" s="3"/>
    </row>
    <row r="31">
      <c r="A31" s="3"/>
      <c r="B31" s="43"/>
      <c r="C31" s="57"/>
      <c r="D31" s="3"/>
      <c r="E31" s="15">
        <v>46298.0</v>
      </c>
      <c r="F31" s="16" t="s">
        <v>11</v>
      </c>
      <c r="G31" s="23">
        <v>2289.0</v>
      </c>
      <c r="H31" s="3"/>
      <c r="I31" s="3"/>
      <c r="J31" s="3"/>
      <c r="K31" s="3"/>
      <c r="L31" s="3"/>
      <c r="M31" s="3"/>
      <c r="N31" s="3"/>
      <c r="O31" s="3"/>
      <c r="P31" s="3"/>
      <c r="Q31" s="4"/>
      <c r="R31" s="3"/>
      <c r="S31" s="3"/>
      <c r="T31" s="3"/>
      <c r="U31" s="3"/>
    </row>
    <row r="32">
      <c r="A32" s="3"/>
      <c r="B32" s="43"/>
      <c r="C32" s="57"/>
      <c r="D32" s="3"/>
      <c r="E32" s="15">
        <v>46298.0</v>
      </c>
      <c r="F32" s="16" t="s">
        <v>11</v>
      </c>
      <c r="G32" s="23">
        <v>800.0</v>
      </c>
      <c r="H32" s="3"/>
      <c r="I32" s="3"/>
      <c r="J32" s="3"/>
      <c r="K32" s="3"/>
      <c r="L32" s="3"/>
      <c r="M32" s="3"/>
      <c r="N32" s="3"/>
      <c r="O32" s="3"/>
      <c r="P32" s="3"/>
      <c r="Q32" s="4"/>
      <c r="R32" s="3"/>
      <c r="S32" s="3"/>
      <c r="T32" s="3"/>
      <c r="U32" s="3"/>
    </row>
    <row r="33">
      <c r="A33" s="3"/>
      <c r="B33" s="43"/>
      <c r="C33" s="57"/>
      <c r="D33" s="3"/>
      <c r="E33" s="15">
        <v>46299.0</v>
      </c>
      <c r="F33" s="16" t="s">
        <v>13</v>
      </c>
      <c r="G33" s="23">
        <v>246.0</v>
      </c>
      <c r="H33" s="3"/>
      <c r="I33" s="3"/>
      <c r="J33" s="3"/>
      <c r="K33" s="3"/>
      <c r="L33" s="3"/>
      <c r="M33" s="3"/>
      <c r="N33" s="3"/>
      <c r="O33" s="3"/>
      <c r="P33" s="3"/>
      <c r="Q33" s="4"/>
      <c r="R33" s="3"/>
      <c r="S33" s="3"/>
      <c r="T33" s="3"/>
      <c r="U33" s="3"/>
    </row>
    <row r="34">
      <c r="A34" s="3"/>
      <c r="B34" s="43"/>
      <c r="C34" s="57"/>
      <c r="D34" s="3"/>
      <c r="E34" s="15">
        <v>46299.0</v>
      </c>
      <c r="F34" s="16" t="s">
        <v>9</v>
      </c>
      <c r="G34" s="23">
        <v>3700.0</v>
      </c>
      <c r="H34" s="3"/>
      <c r="I34" s="3"/>
      <c r="J34" s="3"/>
      <c r="K34" s="3"/>
      <c r="L34" s="3"/>
      <c r="M34" s="3"/>
      <c r="N34" s="3"/>
      <c r="O34" s="3"/>
      <c r="P34" s="3"/>
      <c r="Q34" s="4"/>
      <c r="R34" s="3"/>
      <c r="S34" s="3"/>
      <c r="T34" s="3"/>
      <c r="U34" s="3"/>
    </row>
    <row r="35">
      <c r="A35" s="3"/>
      <c r="B35" s="43"/>
      <c r="C35" s="57"/>
      <c r="D35" s="3"/>
      <c r="E35" s="15">
        <v>46299.0</v>
      </c>
      <c r="F35" s="16" t="s">
        <v>11</v>
      </c>
      <c r="G35" s="23">
        <v>574.0</v>
      </c>
      <c r="H35" s="3"/>
      <c r="I35" s="3"/>
      <c r="J35" s="3"/>
      <c r="K35" s="3"/>
      <c r="L35" s="3"/>
      <c r="M35" s="3"/>
      <c r="N35" s="3"/>
      <c r="O35" s="3"/>
      <c r="P35" s="3"/>
      <c r="Q35" s="4"/>
      <c r="R35" s="3"/>
      <c r="S35" s="3"/>
      <c r="T35" s="3"/>
      <c r="U35" s="3"/>
    </row>
    <row r="36">
      <c r="A36" s="3"/>
      <c r="B36" s="91" t="s">
        <v>51</v>
      </c>
      <c r="C36" s="57"/>
      <c r="D36" s="3"/>
      <c r="E36" s="15">
        <v>46299.0</v>
      </c>
      <c r="F36" s="16" t="s">
        <v>17</v>
      </c>
      <c r="G36" s="23">
        <v>1000.0</v>
      </c>
      <c r="H36" s="3"/>
      <c r="I36" s="3"/>
      <c r="J36" s="3"/>
      <c r="K36" s="3"/>
      <c r="L36" s="3"/>
      <c r="M36" s="58"/>
      <c r="N36" s="58"/>
      <c r="O36" s="3"/>
      <c r="P36" s="3"/>
      <c r="Q36" s="4"/>
      <c r="R36" s="3"/>
      <c r="S36" s="3"/>
      <c r="T36" s="3"/>
      <c r="U36" s="3"/>
    </row>
    <row r="37">
      <c r="A37" s="3"/>
      <c r="B37" s="43"/>
      <c r="C37" s="57"/>
      <c r="D37" s="3"/>
      <c r="E37" s="15">
        <v>46299.0</v>
      </c>
      <c r="F37" s="16" t="s">
        <v>11</v>
      </c>
      <c r="G37" s="23">
        <v>4500.0</v>
      </c>
      <c r="H37" s="3"/>
      <c r="I37" s="3"/>
      <c r="J37" s="3"/>
      <c r="K37" s="3"/>
      <c r="L37" s="3"/>
      <c r="M37" s="3"/>
      <c r="N37" s="3"/>
      <c r="O37" s="3"/>
      <c r="P37" s="3"/>
      <c r="Q37" s="4"/>
      <c r="R37" s="3"/>
      <c r="S37" s="3"/>
      <c r="T37" s="3"/>
      <c r="U37" s="3"/>
    </row>
    <row r="38">
      <c r="A38" s="3"/>
      <c r="B38" s="43"/>
      <c r="C38" s="57"/>
      <c r="D38" s="3"/>
      <c r="E38" s="15">
        <v>46300.0</v>
      </c>
      <c r="F38" s="16" t="s">
        <v>16</v>
      </c>
      <c r="G38" s="23">
        <v>1367.0</v>
      </c>
      <c r="H38" s="3"/>
      <c r="I38" s="3"/>
      <c r="J38" s="3"/>
      <c r="K38" s="3"/>
      <c r="L38" s="3"/>
      <c r="M38" s="3"/>
      <c r="N38" s="3"/>
      <c r="O38" s="3"/>
      <c r="P38" s="3"/>
      <c r="Q38" s="4"/>
      <c r="R38" s="3"/>
      <c r="S38" s="3"/>
      <c r="T38" s="3"/>
      <c r="U38" s="3"/>
    </row>
    <row r="39">
      <c r="A39" s="3"/>
      <c r="B39" s="59" t="s">
        <v>23</v>
      </c>
      <c r="C39" s="60">
        <f>SUM(C18:C38)</f>
        <v>70577</v>
      </c>
      <c r="D39" s="3"/>
      <c r="E39" s="15">
        <v>46300.0</v>
      </c>
      <c r="F39" s="16" t="s">
        <v>13</v>
      </c>
      <c r="G39" s="23">
        <v>1483.0</v>
      </c>
      <c r="H39" s="3"/>
      <c r="I39" s="3"/>
      <c r="J39" s="3"/>
      <c r="K39" s="3"/>
      <c r="L39" s="3"/>
      <c r="M39" s="3"/>
      <c r="N39" s="3"/>
      <c r="O39" s="3"/>
      <c r="P39" s="3"/>
      <c r="Q39" s="4"/>
      <c r="R39" s="3"/>
      <c r="S39" s="3"/>
      <c r="T39" s="3"/>
      <c r="U39" s="3"/>
    </row>
    <row r="40">
      <c r="A40" s="3"/>
      <c r="B40" s="61"/>
      <c r="C40" s="61"/>
      <c r="D40" s="3"/>
      <c r="E40" s="15">
        <v>46301.0</v>
      </c>
      <c r="F40" s="16" t="s">
        <v>11</v>
      </c>
      <c r="G40" s="23">
        <v>2250.0</v>
      </c>
      <c r="H40" s="3"/>
      <c r="I40" s="3"/>
      <c r="J40" s="3"/>
      <c r="K40" s="3"/>
      <c r="L40" s="3"/>
      <c r="M40" s="3"/>
      <c r="N40" s="3"/>
      <c r="O40" s="3"/>
      <c r="P40" s="3"/>
      <c r="Q40" s="4"/>
      <c r="R40" s="3"/>
      <c r="S40" s="3"/>
      <c r="T40" s="3"/>
      <c r="U40" s="3"/>
    </row>
    <row r="41">
      <c r="A41" s="3"/>
      <c r="B41" s="62"/>
      <c r="C41" s="62"/>
      <c r="D41" s="3"/>
      <c r="E41" s="15">
        <v>46301.0</v>
      </c>
      <c r="F41" s="16" t="s">
        <v>11</v>
      </c>
      <c r="G41" s="23">
        <v>1200.0</v>
      </c>
      <c r="H41" s="3"/>
      <c r="I41" s="3"/>
      <c r="J41" s="3"/>
      <c r="K41" s="3"/>
      <c r="L41" s="3"/>
      <c r="M41" s="3"/>
      <c r="N41" s="3"/>
      <c r="O41" s="3"/>
      <c r="P41" s="3"/>
      <c r="Q41" s="4"/>
      <c r="R41" s="3"/>
      <c r="S41" s="3"/>
      <c r="T41" s="3"/>
      <c r="U41" s="3"/>
    </row>
    <row r="42">
      <c r="A42" s="3"/>
      <c r="B42" s="3"/>
      <c r="C42" s="3"/>
      <c r="D42" s="3"/>
      <c r="E42" s="15">
        <v>46301.0</v>
      </c>
      <c r="F42" s="16" t="s">
        <v>11</v>
      </c>
      <c r="G42" s="23">
        <v>990.0</v>
      </c>
      <c r="H42" s="3"/>
      <c r="I42" s="3"/>
      <c r="J42" s="3"/>
      <c r="K42" s="3"/>
      <c r="L42" s="3"/>
      <c r="M42" s="3"/>
      <c r="N42" s="3"/>
      <c r="O42" s="3"/>
      <c r="P42" s="3"/>
      <c r="Q42" s="4"/>
      <c r="R42" s="3"/>
      <c r="S42" s="3"/>
      <c r="T42" s="3"/>
      <c r="U42" s="3"/>
    </row>
    <row r="43">
      <c r="A43" s="3"/>
      <c r="B43" s="3"/>
      <c r="C43" s="3"/>
      <c r="D43" s="3"/>
      <c r="E43" s="15">
        <v>46300.0</v>
      </c>
      <c r="F43" s="16" t="s">
        <v>13</v>
      </c>
      <c r="G43" s="23">
        <v>1012.0</v>
      </c>
      <c r="H43" s="3"/>
      <c r="I43" s="63" t="s">
        <v>42</v>
      </c>
      <c r="J43" s="3"/>
      <c r="K43" s="3"/>
      <c r="L43" s="3"/>
      <c r="M43" s="3"/>
      <c r="N43" s="3"/>
      <c r="O43" s="3"/>
      <c r="P43" s="3"/>
      <c r="Q43" s="4"/>
      <c r="R43" s="3"/>
      <c r="S43" s="3"/>
      <c r="T43" s="3"/>
      <c r="U43" s="3"/>
    </row>
    <row r="44">
      <c r="A44" s="3"/>
      <c r="B44" s="3"/>
      <c r="C44" s="3"/>
      <c r="D44" s="3"/>
      <c r="E44" s="15">
        <v>46302.0</v>
      </c>
      <c r="F44" s="16" t="s">
        <v>17</v>
      </c>
      <c r="G44" s="23">
        <v>1000.0</v>
      </c>
      <c r="H44" s="3"/>
      <c r="I44" s="9" t="s">
        <v>5</v>
      </c>
      <c r="J44" s="10" t="s">
        <v>43</v>
      </c>
      <c r="K44" s="64" t="s">
        <v>44</v>
      </c>
      <c r="L44" s="65" t="s">
        <v>45</v>
      </c>
      <c r="M44" s="66" t="s">
        <v>46</v>
      </c>
      <c r="N44" s="67" t="s">
        <v>20</v>
      </c>
      <c r="O44" s="3"/>
      <c r="P44" s="68"/>
      <c r="Q44" s="4"/>
      <c r="R44" s="3"/>
      <c r="S44" s="3"/>
      <c r="T44" s="3"/>
      <c r="U44" s="3"/>
    </row>
    <row r="45">
      <c r="A45" s="3"/>
      <c r="B45" s="3"/>
      <c r="C45" s="3"/>
      <c r="D45" s="3"/>
      <c r="E45" s="15">
        <v>46303.0</v>
      </c>
      <c r="F45" s="16" t="s">
        <v>17</v>
      </c>
      <c r="G45" s="23">
        <v>1000.0</v>
      </c>
      <c r="H45" s="3"/>
      <c r="I45" s="69">
        <f>EDATE(B1,-1) + 24 + 0</f>
        <v>46290</v>
      </c>
      <c r="J45" s="70">
        <f t="shared" ref="J45:J75" si="1">SUMIF(E5:E127,I45,G5:G127) + $M$19</f>
        <v>5600.517241</v>
      </c>
      <c r="K45" s="71">
        <f>J45</f>
        <v>5600.517241</v>
      </c>
      <c r="L45" s="72">
        <f>(J4-C39-J13)/(J10-J9+1)</f>
        <v>5674.766667</v>
      </c>
      <c r="M45" s="73" t="str">
        <f t="shared" ref="M45:M75" si="2">IF(I45=TODAY(), L45-K45, NA())</f>
        <v>#N/A</v>
      </c>
      <c r="N45" s="74" t="str">
        <f t="shared" ref="N45:N75" si="3">IF(I45=TODAY(), K45, NA())</f>
        <v>#N/A</v>
      </c>
      <c r="O45" s="3"/>
      <c r="P45" s="68"/>
      <c r="Q45" s="4"/>
      <c r="R45" s="3"/>
      <c r="S45" s="3"/>
      <c r="T45" s="3"/>
      <c r="U45" s="3"/>
    </row>
    <row r="46">
      <c r="A46" s="3"/>
      <c r="B46" s="3"/>
      <c r="C46" s="3"/>
      <c r="D46" s="3"/>
      <c r="E46" s="15">
        <v>46303.0</v>
      </c>
      <c r="F46" s="16" t="s">
        <v>11</v>
      </c>
      <c r="G46" s="23">
        <v>572.0</v>
      </c>
      <c r="H46" s="3"/>
      <c r="I46" s="75">
        <f t="shared" ref="I46:I75" si="4">I45 + 1</f>
        <v>46291</v>
      </c>
      <c r="J46" s="70">
        <f t="shared" si="1"/>
        <v>697.5172414</v>
      </c>
      <c r="K46" s="76">
        <f t="shared" ref="K46:K75" si="5">SUM(K45,J46)</f>
        <v>6298.034483</v>
      </c>
      <c r="L46" s="72">
        <f>L45*2</f>
        <v>11349.53333</v>
      </c>
      <c r="M46" s="73" t="str">
        <f t="shared" si="2"/>
        <v>#N/A</v>
      </c>
      <c r="N46" s="74" t="str">
        <f t="shared" si="3"/>
        <v>#N/A</v>
      </c>
      <c r="O46" s="3"/>
      <c r="P46" s="68"/>
      <c r="Q46" s="4"/>
      <c r="R46" s="3"/>
      <c r="S46" s="3"/>
      <c r="T46" s="3"/>
      <c r="U46" s="3"/>
    </row>
    <row r="47">
      <c r="A47" s="3"/>
      <c r="B47" s="3"/>
      <c r="C47" s="3"/>
      <c r="D47" s="3"/>
      <c r="E47" s="15">
        <v>46303.0</v>
      </c>
      <c r="F47" s="16" t="s">
        <v>28</v>
      </c>
      <c r="G47" s="23">
        <v>270.0</v>
      </c>
      <c r="H47" s="3"/>
      <c r="I47" s="75">
        <f t="shared" si="4"/>
        <v>46292</v>
      </c>
      <c r="J47" s="70">
        <f t="shared" si="1"/>
        <v>16409.51724</v>
      </c>
      <c r="K47" s="76">
        <f t="shared" si="5"/>
        <v>22707.55172</v>
      </c>
      <c r="L47" s="72">
        <f>L45*3</f>
        <v>17024.3</v>
      </c>
      <c r="M47" s="73" t="str">
        <f t="shared" si="2"/>
        <v>#N/A</v>
      </c>
      <c r="N47" s="77" t="str">
        <f t="shared" si="3"/>
        <v>#N/A</v>
      </c>
      <c r="O47" s="3"/>
      <c r="P47" s="68"/>
      <c r="Q47" s="4"/>
      <c r="R47" s="3"/>
      <c r="S47" s="3"/>
      <c r="T47" s="3"/>
      <c r="U47" s="3"/>
    </row>
    <row r="48">
      <c r="A48" s="3"/>
      <c r="B48" s="3"/>
      <c r="C48" s="3"/>
      <c r="D48" s="3"/>
      <c r="E48" s="15">
        <v>46303.0</v>
      </c>
      <c r="F48" s="16" t="s">
        <v>13</v>
      </c>
      <c r="G48" s="23">
        <v>415.0</v>
      </c>
      <c r="H48" s="3"/>
      <c r="I48" s="75">
        <f t="shared" si="4"/>
        <v>46293</v>
      </c>
      <c r="J48" s="70">
        <f t="shared" si="1"/>
        <v>5461.517241</v>
      </c>
      <c r="K48" s="76">
        <f t="shared" si="5"/>
        <v>28169.06897</v>
      </c>
      <c r="L48" s="72">
        <f>L45*4</f>
        <v>22699.06667</v>
      </c>
      <c r="M48" s="73" t="str">
        <f t="shared" si="2"/>
        <v>#N/A</v>
      </c>
      <c r="N48" s="74" t="str">
        <f t="shared" si="3"/>
        <v>#N/A</v>
      </c>
      <c r="O48" s="3"/>
      <c r="P48" s="68"/>
      <c r="Q48" s="4"/>
      <c r="R48" s="3"/>
      <c r="S48" s="3"/>
      <c r="T48" s="3"/>
      <c r="U48" s="3"/>
    </row>
    <row r="49">
      <c r="A49" s="3"/>
      <c r="B49" s="3"/>
      <c r="C49" s="3"/>
      <c r="D49" s="3"/>
      <c r="E49" s="15">
        <v>46304.0</v>
      </c>
      <c r="F49" s="16" t="s">
        <v>17</v>
      </c>
      <c r="G49" s="23">
        <v>1000.0</v>
      </c>
      <c r="H49" s="3"/>
      <c r="I49" s="75">
        <f t="shared" si="4"/>
        <v>46294</v>
      </c>
      <c r="J49" s="70">
        <f t="shared" si="1"/>
        <v>4957.517241</v>
      </c>
      <c r="K49" s="76">
        <f t="shared" si="5"/>
        <v>33126.58621</v>
      </c>
      <c r="L49" s="72">
        <f>L45*5</f>
        <v>28373.83333</v>
      </c>
      <c r="M49" s="73" t="str">
        <f t="shared" si="2"/>
        <v>#N/A</v>
      </c>
      <c r="N49" s="74" t="str">
        <f t="shared" si="3"/>
        <v>#N/A</v>
      </c>
      <c r="O49" s="3"/>
      <c r="P49" s="68"/>
      <c r="Q49" s="4"/>
      <c r="R49" s="3"/>
      <c r="S49" s="3"/>
      <c r="T49" s="3"/>
      <c r="U49" s="3"/>
    </row>
    <row r="50">
      <c r="A50" s="3"/>
      <c r="B50" s="3"/>
      <c r="C50" s="3"/>
      <c r="D50" s="3"/>
      <c r="E50" s="15">
        <v>46304.0</v>
      </c>
      <c r="F50" s="16" t="s">
        <v>11</v>
      </c>
      <c r="G50" s="23">
        <v>2754.0</v>
      </c>
      <c r="H50" s="3"/>
      <c r="I50" s="75">
        <f t="shared" si="4"/>
        <v>46295</v>
      </c>
      <c r="J50" s="70">
        <f t="shared" si="1"/>
        <v>5413.517241</v>
      </c>
      <c r="K50" s="76">
        <f t="shared" si="5"/>
        <v>38540.10345</v>
      </c>
      <c r="L50" s="72">
        <f>L45*6</f>
        <v>34048.6</v>
      </c>
      <c r="M50" s="73" t="str">
        <f t="shared" si="2"/>
        <v>#N/A</v>
      </c>
      <c r="N50" s="74" t="str">
        <f t="shared" si="3"/>
        <v>#N/A</v>
      </c>
      <c r="O50" s="3"/>
      <c r="P50" s="68"/>
      <c r="Q50" s="4"/>
      <c r="R50" s="3"/>
      <c r="S50" s="3"/>
      <c r="T50" s="3"/>
      <c r="U50" s="3"/>
    </row>
    <row r="51">
      <c r="A51" s="3"/>
      <c r="B51" s="3"/>
      <c r="C51" s="3"/>
      <c r="D51" s="3"/>
      <c r="E51" s="15">
        <v>46305.0</v>
      </c>
      <c r="F51" s="16" t="s">
        <v>11</v>
      </c>
      <c r="G51" s="23">
        <v>310.0</v>
      </c>
      <c r="H51" s="3"/>
      <c r="I51" s="75">
        <f t="shared" si="4"/>
        <v>46296</v>
      </c>
      <c r="J51" s="70">
        <f t="shared" si="1"/>
        <v>1586.517241</v>
      </c>
      <c r="K51" s="76">
        <f t="shared" si="5"/>
        <v>40126.62069</v>
      </c>
      <c r="L51" s="72">
        <f>L45*7</f>
        <v>39723.36667</v>
      </c>
      <c r="M51" s="73" t="str">
        <f t="shared" si="2"/>
        <v>#N/A</v>
      </c>
      <c r="N51" s="74" t="str">
        <f t="shared" si="3"/>
        <v>#N/A</v>
      </c>
      <c r="O51" s="3"/>
      <c r="P51" s="68"/>
      <c r="Q51" s="4"/>
      <c r="R51" s="3"/>
      <c r="S51" s="3"/>
      <c r="T51" s="3"/>
      <c r="U51" s="3"/>
    </row>
    <row r="52">
      <c r="A52" s="3"/>
      <c r="B52" s="3"/>
      <c r="C52" s="3"/>
      <c r="D52" s="3"/>
      <c r="E52" s="15">
        <v>46305.0</v>
      </c>
      <c r="F52" s="16" t="s">
        <v>17</v>
      </c>
      <c r="G52" s="23">
        <v>1000.0</v>
      </c>
      <c r="H52" s="3"/>
      <c r="I52" s="75">
        <f t="shared" si="4"/>
        <v>46297</v>
      </c>
      <c r="J52" s="70">
        <f t="shared" si="1"/>
        <v>4515.517241</v>
      </c>
      <c r="K52" s="76">
        <f t="shared" si="5"/>
        <v>44642.13793</v>
      </c>
      <c r="L52" s="72">
        <f>L45*8</f>
        <v>45398.13333</v>
      </c>
      <c r="M52" s="73" t="str">
        <f t="shared" si="2"/>
        <v>#N/A</v>
      </c>
      <c r="N52" s="74" t="str">
        <f t="shared" si="3"/>
        <v>#N/A</v>
      </c>
      <c r="O52" s="3"/>
      <c r="P52" s="68"/>
      <c r="Q52" s="4"/>
      <c r="R52" s="3"/>
      <c r="S52" s="3"/>
      <c r="T52" s="3"/>
      <c r="U52" s="3"/>
    </row>
    <row r="53">
      <c r="A53" s="3"/>
      <c r="B53" s="3"/>
      <c r="C53" s="3"/>
      <c r="D53" s="3"/>
      <c r="E53" s="15">
        <v>46306.0</v>
      </c>
      <c r="F53" s="16" t="s">
        <v>9</v>
      </c>
      <c r="G53" s="23">
        <v>8300.0</v>
      </c>
      <c r="H53" s="3"/>
      <c r="I53" s="75">
        <f t="shared" si="4"/>
        <v>46298</v>
      </c>
      <c r="J53" s="70">
        <f t="shared" si="1"/>
        <v>4904.517241</v>
      </c>
      <c r="K53" s="76">
        <f t="shared" si="5"/>
        <v>49546.65517</v>
      </c>
      <c r="L53" s="72">
        <f>L45*9</f>
        <v>51072.9</v>
      </c>
      <c r="M53" s="73" t="str">
        <f t="shared" si="2"/>
        <v>#N/A</v>
      </c>
      <c r="N53" s="74" t="str">
        <f t="shared" si="3"/>
        <v>#N/A</v>
      </c>
      <c r="O53" s="3"/>
      <c r="P53" s="68"/>
      <c r="Q53" s="4"/>
      <c r="R53" s="3"/>
      <c r="S53" s="3"/>
      <c r="T53" s="3"/>
      <c r="U53" s="3"/>
    </row>
    <row r="54">
      <c r="A54" s="3"/>
      <c r="B54" s="3"/>
      <c r="C54" s="3"/>
      <c r="D54" s="3"/>
      <c r="E54" s="15">
        <v>46307.0</v>
      </c>
      <c r="F54" s="16" t="s">
        <v>13</v>
      </c>
      <c r="G54" s="23">
        <v>316.0</v>
      </c>
      <c r="H54" s="3"/>
      <c r="I54" s="75">
        <f t="shared" si="4"/>
        <v>46299</v>
      </c>
      <c r="J54" s="70">
        <f t="shared" si="1"/>
        <v>10485.51724</v>
      </c>
      <c r="K54" s="76">
        <f t="shared" si="5"/>
        <v>60032.17241</v>
      </c>
      <c r="L54" s="72">
        <f>L45*10</f>
        <v>56747.66667</v>
      </c>
      <c r="M54" s="73" t="str">
        <f t="shared" si="2"/>
        <v>#N/A</v>
      </c>
      <c r="N54" s="74" t="str">
        <f t="shared" si="3"/>
        <v>#N/A</v>
      </c>
      <c r="O54" s="3"/>
      <c r="P54" s="68"/>
      <c r="Q54" s="4"/>
      <c r="R54" s="3"/>
      <c r="S54" s="3"/>
      <c r="T54" s="3"/>
      <c r="U54" s="3"/>
    </row>
    <row r="55">
      <c r="A55" s="3"/>
      <c r="B55" s="3"/>
      <c r="C55" s="3"/>
      <c r="D55" s="3"/>
      <c r="E55" s="15">
        <v>46307.0</v>
      </c>
      <c r="F55" s="16" t="s">
        <v>40</v>
      </c>
      <c r="G55" s="23">
        <v>200.0</v>
      </c>
      <c r="H55" s="3"/>
      <c r="I55" s="75">
        <f t="shared" si="4"/>
        <v>46300</v>
      </c>
      <c r="J55" s="70">
        <f t="shared" si="1"/>
        <v>4327.517241</v>
      </c>
      <c r="K55" s="76">
        <f t="shared" si="5"/>
        <v>64359.68966</v>
      </c>
      <c r="L55" s="72">
        <f>L45*11</f>
        <v>62422.43333</v>
      </c>
      <c r="M55" s="73" t="str">
        <f t="shared" si="2"/>
        <v>#N/A</v>
      </c>
      <c r="N55" s="74" t="str">
        <f t="shared" si="3"/>
        <v>#N/A</v>
      </c>
      <c r="O55" s="3"/>
      <c r="P55" s="3"/>
      <c r="Q55" s="4"/>
      <c r="R55" s="3"/>
      <c r="S55" s="3"/>
      <c r="T55" s="3"/>
      <c r="U55" s="3"/>
    </row>
    <row r="56">
      <c r="A56" s="3"/>
      <c r="B56" s="3"/>
      <c r="C56" s="3"/>
      <c r="D56" s="3"/>
      <c r="E56" s="15">
        <v>46307.0</v>
      </c>
      <c r="F56" s="16" t="s">
        <v>11</v>
      </c>
      <c r="G56" s="23">
        <v>3861.0</v>
      </c>
      <c r="H56" s="3"/>
      <c r="I56" s="75">
        <f t="shared" si="4"/>
        <v>46301</v>
      </c>
      <c r="J56" s="70">
        <f t="shared" si="1"/>
        <v>4905.517241</v>
      </c>
      <c r="K56" s="76">
        <f t="shared" si="5"/>
        <v>69265.2069</v>
      </c>
      <c r="L56" s="72">
        <f>L45*12</f>
        <v>68097.2</v>
      </c>
      <c r="M56" s="73" t="str">
        <f t="shared" si="2"/>
        <v>#N/A</v>
      </c>
      <c r="N56" s="74" t="str">
        <f t="shared" si="3"/>
        <v>#N/A</v>
      </c>
      <c r="O56" s="3"/>
      <c r="P56" s="3"/>
      <c r="Q56" s="4"/>
      <c r="R56" s="3"/>
      <c r="S56" s="3"/>
      <c r="T56" s="3"/>
      <c r="U56" s="3"/>
    </row>
    <row r="57">
      <c r="A57" s="3"/>
      <c r="B57" s="3"/>
      <c r="C57" s="3"/>
      <c r="D57" s="3"/>
      <c r="E57" s="15">
        <v>46307.0</v>
      </c>
      <c r="F57" s="16" t="s">
        <v>41</v>
      </c>
      <c r="G57" s="23">
        <v>990.0</v>
      </c>
      <c r="H57" s="3"/>
      <c r="I57" s="75">
        <f t="shared" si="4"/>
        <v>46302</v>
      </c>
      <c r="J57" s="70">
        <f t="shared" si="1"/>
        <v>1465.517241</v>
      </c>
      <c r="K57" s="76">
        <f t="shared" si="5"/>
        <v>70730.72414</v>
      </c>
      <c r="L57" s="72">
        <f>L45*13</f>
        <v>73771.96667</v>
      </c>
      <c r="M57" s="73" t="str">
        <f t="shared" si="2"/>
        <v>#N/A</v>
      </c>
      <c r="N57" s="74" t="str">
        <f t="shared" si="3"/>
        <v>#N/A</v>
      </c>
      <c r="O57" s="3"/>
      <c r="P57" s="3"/>
      <c r="Q57" s="4"/>
      <c r="R57" s="3"/>
      <c r="S57" s="3"/>
      <c r="T57" s="3"/>
      <c r="U57" s="3"/>
    </row>
    <row r="58">
      <c r="A58" s="3"/>
      <c r="B58" s="3"/>
      <c r="C58" s="3"/>
      <c r="D58" s="3"/>
      <c r="E58" s="15">
        <v>46307.0</v>
      </c>
      <c r="F58" s="16" t="s">
        <v>16</v>
      </c>
      <c r="G58" s="23">
        <v>1276.0</v>
      </c>
      <c r="H58" s="3"/>
      <c r="I58" s="75">
        <f t="shared" si="4"/>
        <v>46303</v>
      </c>
      <c r="J58" s="70">
        <f t="shared" si="1"/>
        <v>2722.517241</v>
      </c>
      <c r="K58" s="76">
        <f t="shared" si="5"/>
        <v>73453.24138</v>
      </c>
      <c r="L58" s="72">
        <f>L45*14</f>
        <v>79446.73333</v>
      </c>
      <c r="M58" s="73" t="str">
        <f t="shared" si="2"/>
        <v>#N/A</v>
      </c>
      <c r="N58" s="74" t="str">
        <f t="shared" si="3"/>
        <v>#N/A</v>
      </c>
      <c r="O58" s="3"/>
      <c r="P58" s="3"/>
      <c r="Q58" s="4"/>
      <c r="R58" s="3"/>
      <c r="S58" s="3"/>
      <c r="T58" s="3"/>
      <c r="U58" s="3"/>
    </row>
    <row r="59">
      <c r="A59" s="3"/>
      <c r="B59" s="3"/>
      <c r="C59" s="3"/>
      <c r="D59" s="3"/>
      <c r="E59" s="15">
        <v>46308.0</v>
      </c>
      <c r="F59" s="16" t="s">
        <v>13</v>
      </c>
      <c r="G59" s="23">
        <v>427.0</v>
      </c>
      <c r="H59" s="3"/>
      <c r="I59" s="75">
        <f t="shared" si="4"/>
        <v>46304</v>
      </c>
      <c r="J59" s="70">
        <f t="shared" si="1"/>
        <v>4219.517241</v>
      </c>
      <c r="K59" s="76">
        <f t="shared" si="5"/>
        <v>77672.75862</v>
      </c>
      <c r="L59" s="72">
        <f>L45*15</f>
        <v>85121.5</v>
      </c>
      <c r="M59" s="73" t="str">
        <f t="shared" si="2"/>
        <v>#N/A</v>
      </c>
      <c r="N59" s="74" t="str">
        <f t="shared" si="3"/>
        <v>#N/A</v>
      </c>
      <c r="O59" s="3"/>
      <c r="P59" s="3"/>
      <c r="Q59" s="4"/>
      <c r="R59" s="3"/>
      <c r="S59" s="3"/>
      <c r="T59" s="3"/>
      <c r="U59" s="3"/>
    </row>
    <row r="60">
      <c r="A60" s="3"/>
      <c r="B60" s="3"/>
      <c r="C60" s="3"/>
      <c r="D60" s="3"/>
      <c r="E60" s="15">
        <v>46309.0</v>
      </c>
      <c r="F60" s="16" t="s">
        <v>13</v>
      </c>
      <c r="G60" s="23">
        <v>1150.0</v>
      </c>
      <c r="H60" s="3"/>
      <c r="I60" s="75">
        <f t="shared" si="4"/>
        <v>46305</v>
      </c>
      <c r="J60" s="70">
        <f t="shared" si="1"/>
        <v>1775.517241</v>
      </c>
      <c r="K60" s="76">
        <f t="shared" si="5"/>
        <v>79448.27586</v>
      </c>
      <c r="L60" s="72">
        <f>L45*16</f>
        <v>90796.26667</v>
      </c>
      <c r="M60" s="73" t="str">
        <f t="shared" si="2"/>
        <v>#N/A</v>
      </c>
      <c r="N60" s="74" t="str">
        <f t="shared" si="3"/>
        <v>#N/A</v>
      </c>
      <c r="O60" s="3"/>
      <c r="P60" s="3"/>
      <c r="Q60" s="4"/>
      <c r="R60" s="3"/>
      <c r="S60" s="3"/>
      <c r="T60" s="3"/>
      <c r="U60" s="3"/>
    </row>
    <row r="61">
      <c r="A61" s="3"/>
      <c r="B61" s="3"/>
      <c r="C61" s="3"/>
      <c r="D61" s="3"/>
      <c r="E61" s="15">
        <v>46309.0</v>
      </c>
      <c r="F61" s="16" t="s">
        <v>17</v>
      </c>
      <c r="G61" s="23">
        <v>1000.0</v>
      </c>
      <c r="H61" s="3"/>
      <c r="I61" s="75">
        <f t="shared" si="4"/>
        <v>46306</v>
      </c>
      <c r="J61" s="70">
        <f t="shared" si="1"/>
        <v>8765.517241</v>
      </c>
      <c r="K61" s="76">
        <f t="shared" si="5"/>
        <v>88213.7931</v>
      </c>
      <c r="L61" s="72">
        <f>L45*17</f>
        <v>96471.03333</v>
      </c>
      <c r="M61" s="73" t="str">
        <f t="shared" si="2"/>
        <v>#N/A</v>
      </c>
      <c r="N61" s="74" t="str">
        <f t="shared" si="3"/>
        <v>#N/A</v>
      </c>
      <c r="O61" s="3"/>
      <c r="P61" s="3"/>
      <c r="Q61" s="4"/>
      <c r="R61" s="3"/>
      <c r="S61" s="3"/>
      <c r="T61" s="3"/>
      <c r="U61" s="3"/>
    </row>
    <row r="62">
      <c r="A62" s="3"/>
      <c r="B62" s="3"/>
      <c r="C62" s="3"/>
      <c r="D62" s="3"/>
      <c r="E62" s="15">
        <v>46309.0</v>
      </c>
      <c r="F62" s="16" t="s">
        <v>11</v>
      </c>
      <c r="G62" s="23">
        <v>700.0</v>
      </c>
      <c r="H62" s="3"/>
      <c r="I62" s="75">
        <f t="shared" si="4"/>
        <v>46307</v>
      </c>
      <c r="J62" s="70">
        <f t="shared" si="1"/>
        <v>7108.517241</v>
      </c>
      <c r="K62" s="76">
        <f t="shared" si="5"/>
        <v>95322.31034</v>
      </c>
      <c r="L62" s="72">
        <f>L45*18</f>
        <v>102145.8</v>
      </c>
      <c r="M62" s="73" t="str">
        <f t="shared" si="2"/>
        <v>#N/A</v>
      </c>
      <c r="N62" s="74" t="str">
        <f t="shared" si="3"/>
        <v>#N/A</v>
      </c>
      <c r="O62" s="3"/>
      <c r="P62" s="3"/>
      <c r="Q62" s="4"/>
      <c r="R62" s="3"/>
      <c r="S62" s="3"/>
      <c r="T62" s="3"/>
      <c r="U62" s="3"/>
    </row>
    <row r="63">
      <c r="A63" s="3"/>
      <c r="B63" s="3"/>
      <c r="C63" s="3"/>
      <c r="D63" s="3"/>
      <c r="E63" s="15">
        <v>46309.0</v>
      </c>
      <c r="F63" s="16" t="s">
        <v>14</v>
      </c>
      <c r="G63" s="23">
        <v>1390.0</v>
      </c>
      <c r="H63" s="3"/>
      <c r="I63" s="75">
        <f t="shared" si="4"/>
        <v>46308</v>
      </c>
      <c r="J63" s="70">
        <f t="shared" si="1"/>
        <v>892.5172414</v>
      </c>
      <c r="K63" s="76">
        <f t="shared" si="5"/>
        <v>96214.82759</v>
      </c>
      <c r="L63" s="72">
        <f>L45*19</f>
        <v>107820.5667</v>
      </c>
      <c r="M63" s="73" t="str">
        <f t="shared" si="2"/>
        <v>#N/A</v>
      </c>
      <c r="N63" s="74" t="str">
        <f t="shared" si="3"/>
        <v>#N/A</v>
      </c>
      <c r="O63" s="3"/>
      <c r="P63" s="3"/>
      <c r="Q63" s="4"/>
      <c r="R63" s="3"/>
      <c r="S63" s="3"/>
      <c r="T63" s="3"/>
      <c r="U63" s="3"/>
    </row>
    <row r="64">
      <c r="A64" s="3"/>
      <c r="B64" s="3"/>
      <c r="C64" s="3"/>
      <c r="D64" s="3"/>
      <c r="E64" s="15">
        <v>46309.0</v>
      </c>
      <c r="F64" s="16" t="s">
        <v>16</v>
      </c>
      <c r="G64" s="23">
        <v>3922.0</v>
      </c>
      <c r="H64" s="3"/>
      <c r="I64" s="75">
        <f t="shared" si="4"/>
        <v>46309</v>
      </c>
      <c r="J64" s="70">
        <f t="shared" si="1"/>
        <v>8627.517241</v>
      </c>
      <c r="K64" s="76">
        <f t="shared" si="5"/>
        <v>104842.3448</v>
      </c>
      <c r="L64" s="72">
        <f>L45*20</f>
        <v>113495.3333</v>
      </c>
      <c r="M64" s="73" t="str">
        <f t="shared" si="2"/>
        <v>#N/A</v>
      </c>
      <c r="N64" s="74" t="str">
        <f t="shared" si="3"/>
        <v>#N/A</v>
      </c>
      <c r="O64" s="3"/>
      <c r="P64" s="3"/>
      <c r="Q64" s="4"/>
      <c r="R64" s="3"/>
      <c r="S64" s="3"/>
      <c r="T64" s="3"/>
      <c r="U64" s="3"/>
    </row>
    <row r="65">
      <c r="A65" s="3"/>
      <c r="B65" s="3"/>
      <c r="C65" s="3"/>
      <c r="D65" s="3"/>
      <c r="E65" s="15">
        <v>46310.0</v>
      </c>
      <c r="F65" s="16" t="s">
        <v>17</v>
      </c>
      <c r="G65" s="23">
        <v>1000.0</v>
      </c>
      <c r="H65" s="3"/>
      <c r="I65" s="75">
        <f t="shared" si="4"/>
        <v>46310</v>
      </c>
      <c r="J65" s="70">
        <f t="shared" si="1"/>
        <v>6040.517241</v>
      </c>
      <c r="K65" s="76">
        <f t="shared" si="5"/>
        <v>110882.8621</v>
      </c>
      <c r="L65" s="72">
        <f>L45*21</f>
        <v>119170.1</v>
      </c>
      <c r="M65" s="73" t="str">
        <f t="shared" si="2"/>
        <v>#N/A</v>
      </c>
      <c r="N65" s="74" t="str">
        <f t="shared" si="3"/>
        <v>#N/A</v>
      </c>
      <c r="O65" s="3"/>
      <c r="P65" s="3"/>
      <c r="Q65" s="4"/>
      <c r="R65" s="3"/>
      <c r="S65" s="3"/>
      <c r="T65" s="3"/>
      <c r="U65" s="3"/>
    </row>
    <row r="66">
      <c r="A66" s="3"/>
      <c r="B66" s="3"/>
      <c r="C66" s="3"/>
      <c r="D66" s="3"/>
      <c r="E66" s="15">
        <v>46310.0</v>
      </c>
      <c r="F66" s="16" t="s">
        <v>14</v>
      </c>
      <c r="G66" s="23">
        <v>2210.0</v>
      </c>
      <c r="H66" s="3"/>
      <c r="I66" s="75">
        <f t="shared" si="4"/>
        <v>46311</v>
      </c>
      <c r="J66" s="70">
        <f t="shared" si="1"/>
        <v>5870.517241</v>
      </c>
      <c r="K66" s="76">
        <f t="shared" si="5"/>
        <v>116753.3793</v>
      </c>
      <c r="L66" s="72">
        <f>L45*22</f>
        <v>124844.8667</v>
      </c>
      <c r="M66" s="73" t="str">
        <f t="shared" si="2"/>
        <v>#N/A</v>
      </c>
      <c r="N66" s="74" t="str">
        <f t="shared" si="3"/>
        <v>#N/A</v>
      </c>
      <c r="O66" s="3"/>
      <c r="P66" s="3"/>
      <c r="Q66" s="4"/>
      <c r="R66" s="3"/>
      <c r="S66" s="3"/>
      <c r="T66" s="3"/>
      <c r="U66" s="3"/>
    </row>
    <row r="67">
      <c r="A67" s="3"/>
      <c r="B67" s="3"/>
      <c r="C67" s="3"/>
      <c r="D67" s="3"/>
      <c r="E67" s="15">
        <v>46310.0</v>
      </c>
      <c r="F67" s="16" t="s">
        <v>11</v>
      </c>
      <c r="G67" s="23">
        <v>2365.0</v>
      </c>
      <c r="H67" s="3"/>
      <c r="I67" s="75">
        <f t="shared" si="4"/>
        <v>46312</v>
      </c>
      <c r="J67" s="70">
        <f t="shared" si="1"/>
        <v>3495.517241</v>
      </c>
      <c r="K67" s="76">
        <f t="shared" si="5"/>
        <v>120248.8966</v>
      </c>
      <c r="L67" s="72">
        <f>L45*23</f>
        <v>130519.6333</v>
      </c>
      <c r="M67" s="73" t="str">
        <f t="shared" si="2"/>
        <v>#N/A</v>
      </c>
      <c r="N67" s="74" t="str">
        <f t="shared" si="3"/>
        <v>#N/A</v>
      </c>
      <c r="O67" s="3"/>
      <c r="P67" s="3"/>
      <c r="Q67" s="4"/>
      <c r="R67" s="3"/>
      <c r="S67" s="3"/>
      <c r="T67" s="3"/>
      <c r="U67" s="3"/>
    </row>
    <row r="68">
      <c r="A68" s="3"/>
      <c r="B68" s="3"/>
      <c r="C68" s="3"/>
      <c r="D68" s="3"/>
      <c r="E68" s="15">
        <v>46311.0</v>
      </c>
      <c r="F68" s="16" t="s">
        <v>28</v>
      </c>
      <c r="G68" s="23">
        <v>1210.0</v>
      </c>
      <c r="H68" s="3"/>
      <c r="I68" s="75">
        <f t="shared" si="4"/>
        <v>46313</v>
      </c>
      <c r="J68" s="70">
        <f t="shared" si="1"/>
        <v>3221.517241</v>
      </c>
      <c r="K68" s="76">
        <f t="shared" si="5"/>
        <v>123470.4138</v>
      </c>
      <c r="L68" s="72">
        <f>L45*24</f>
        <v>136194.4</v>
      </c>
      <c r="M68" s="73" t="str">
        <f t="shared" si="2"/>
        <v>#N/A</v>
      </c>
      <c r="N68" s="74" t="str">
        <f t="shared" si="3"/>
        <v>#N/A</v>
      </c>
      <c r="O68" s="3"/>
      <c r="P68" s="3"/>
      <c r="Q68" s="4"/>
      <c r="R68" s="3"/>
      <c r="S68" s="3"/>
      <c r="T68" s="3"/>
      <c r="U68" s="3"/>
    </row>
    <row r="69">
      <c r="A69" s="3"/>
      <c r="B69" s="3"/>
      <c r="C69" s="3"/>
      <c r="D69" s="3"/>
      <c r="E69" s="15">
        <v>46311.0</v>
      </c>
      <c r="F69" s="16" t="s">
        <v>13</v>
      </c>
      <c r="G69" s="23">
        <v>365.0</v>
      </c>
      <c r="H69" s="3"/>
      <c r="I69" s="75">
        <f t="shared" si="4"/>
        <v>46314</v>
      </c>
      <c r="J69" s="70">
        <f t="shared" si="1"/>
        <v>2432.517241</v>
      </c>
      <c r="K69" s="76">
        <f t="shared" si="5"/>
        <v>125902.931</v>
      </c>
      <c r="L69" s="72">
        <f>L45*25</f>
        <v>141869.1667</v>
      </c>
      <c r="M69" s="73" t="str">
        <f t="shared" si="2"/>
        <v>#N/A</v>
      </c>
      <c r="N69" s="74" t="str">
        <f t="shared" si="3"/>
        <v>#N/A</v>
      </c>
      <c r="O69" s="3"/>
      <c r="P69" s="3"/>
      <c r="Q69" s="4"/>
      <c r="R69" s="3"/>
      <c r="S69" s="3"/>
      <c r="T69" s="3"/>
      <c r="U69" s="3"/>
    </row>
    <row r="70">
      <c r="A70" s="3"/>
      <c r="B70" s="3"/>
      <c r="C70" s="3"/>
      <c r="D70" s="3"/>
      <c r="E70" s="15">
        <v>46311.0</v>
      </c>
      <c r="F70" s="16" t="s">
        <v>40</v>
      </c>
      <c r="G70" s="23">
        <v>3287.0</v>
      </c>
      <c r="H70" s="3"/>
      <c r="I70" s="75">
        <f t="shared" si="4"/>
        <v>46315</v>
      </c>
      <c r="J70" s="70">
        <f t="shared" si="1"/>
        <v>2907.517241</v>
      </c>
      <c r="K70" s="76">
        <f t="shared" si="5"/>
        <v>128810.4483</v>
      </c>
      <c r="L70" s="72">
        <f>L45*26</f>
        <v>147543.9333</v>
      </c>
      <c r="M70" s="73" t="str">
        <f t="shared" si="2"/>
        <v>#N/A</v>
      </c>
      <c r="N70" s="74" t="str">
        <f t="shared" si="3"/>
        <v>#N/A</v>
      </c>
      <c r="O70" s="3"/>
      <c r="P70" s="3"/>
      <c r="Q70" s="4"/>
      <c r="R70" s="3"/>
      <c r="S70" s="3"/>
      <c r="T70" s="3"/>
      <c r="U70" s="3"/>
    </row>
    <row r="71">
      <c r="A71" s="3"/>
      <c r="B71" s="3"/>
      <c r="C71" s="3"/>
      <c r="D71" s="3"/>
      <c r="E71" s="15">
        <v>46311.0</v>
      </c>
      <c r="F71" s="16" t="s">
        <v>13</v>
      </c>
      <c r="G71" s="23">
        <v>543.0</v>
      </c>
      <c r="H71" s="3"/>
      <c r="I71" s="75">
        <f t="shared" si="4"/>
        <v>46316</v>
      </c>
      <c r="J71" s="70">
        <f t="shared" si="1"/>
        <v>3840.517241</v>
      </c>
      <c r="K71" s="76">
        <f t="shared" si="5"/>
        <v>132650.9655</v>
      </c>
      <c r="L71" s="72">
        <f>L45*27</f>
        <v>153218.7</v>
      </c>
      <c r="M71" s="73" t="str">
        <f t="shared" si="2"/>
        <v>#N/A</v>
      </c>
      <c r="N71" s="74" t="str">
        <f t="shared" si="3"/>
        <v>#N/A</v>
      </c>
      <c r="O71" s="3"/>
      <c r="P71" s="3"/>
      <c r="Q71" s="4"/>
      <c r="R71" s="3"/>
      <c r="S71" s="3"/>
      <c r="T71" s="3"/>
      <c r="U71" s="3"/>
    </row>
    <row r="72">
      <c r="A72" s="3"/>
      <c r="B72" s="3"/>
      <c r="C72" s="3"/>
      <c r="D72" s="3"/>
      <c r="E72" s="15">
        <v>46312.0</v>
      </c>
      <c r="F72" s="16" t="s">
        <v>11</v>
      </c>
      <c r="G72" s="23">
        <v>3030.0</v>
      </c>
      <c r="H72" s="3"/>
      <c r="I72" s="75">
        <f t="shared" si="4"/>
        <v>46317</v>
      </c>
      <c r="J72" s="70">
        <f t="shared" si="1"/>
        <v>7586.517241</v>
      </c>
      <c r="K72" s="76">
        <f t="shared" si="5"/>
        <v>140237.4828</v>
      </c>
      <c r="L72" s="72">
        <f>L45*28</f>
        <v>158893.4667</v>
      </c>
      <c r="M72" s="73" t="str">
        <f t="shared" si="2"/>
        <v>#N/A</v>
      </c>
      <c r="N72" s="74" t="str">
        <f t="shared" si="3"/>
        <v>#N/A</v>
      </c>
      <c r="O72" s="3"/>
      <c r="P72" s="3"/>
      <c r="Q72" s="4"/>
      <c r="R72" s="3"/>
      <c r="S72" s="3"/>
      <c r="T72" s="3"/>
      <c r="U72" s="3"/>
    </row>
    <row r="73">
      <c r="A73" s="3"/>
      <c r="B73" s="3"/>
      <c r="C73" s="3"/>
      <c r="D73" s="3"/>
      <c r="E73" s="15">
        <v>46313.0</v>
      </c>
      <c r="F73" s="16" t="s">
        <v>11</v>
      </c>
      <c r="G73" s="23">
        <v>900.0</v>
      </c>
      <c r="H73" s="3"/>
      <c r="I73" s="75">
        <f t="shared" si="4"/>
        <v>46318</v>
      </c>
      <c r="J73" s="70">
        <f t="shared" si="1"/>
        <v>9719.517241</v>
      </c>
      <c r="K73" s="76">
        <f t="shared" si="5"/>
        <v>149957</v>
      </c>
      <c r="L73" s="72">
        <f>L45*29</f>
        <v>164568.2333</v>
      </c>
      <c r="M73" s="73" t="str">
        <f t="shared" si="2"/>
        <v>#N/A</v>
      </c>
      <c r="N73" s="74" t="str">
        <f t="shared" si="3"/>
        <v>#N/A</v>
      </c>
      <c r="O73" s="3"/>
      <c r="P73" s="3"/>
      <c r="Q73" s="4"/>
      <c r="R73" s="3"/>
      <c r="S73" s="3"/>
      <c r="T73" s="3"/>
      <c r="U73" s="3"/>
    </row>
    <row r="74">
      <c r="A74" s="3"/>
      <c r="B74" s="3"/>
      <c r="C74" s="3"/>
      <c r="D74" s="3"/>
      <c r="E74" s="15">
        <v>46313.0</v>
      </c>
      <c r="F74" s="16" t="s">
        <v>17</v>
      </c>
      <c r="G74" s="23">
        <v>1000.0</v>
      </c>
      <c r="H74" s="3"/>
      <c r="I74" s="75">
        <f t="shared" si="4"/>
        <v>46319</v>
      </c>
      <c r="J74" s="70">
        <f t="shared" si="1"/>
        <v>2072.517241</v>
      </c>
      <c r="K74" s="76">
        <f t="shared" si="5"/>
        <v>152029.5172</v>
      </c>
      <c r="L74" s="72">
        <f>L45*30</f>
        <v>170243</v>
      </c>
      <c r="M74" s="73" t="str">
        <f t="shared" si="2"/>
        <v>#N/A</v>
      </c>
      <c r="N74" s="74" t="str">
        <f t="shared" si="3"/>
        <v>#N/A</v>
      </c>
      <c r="O74" s="3"/>
      <c r="P74" s="3"/>
      <c r="Q74" s="4"/>
      <c r="R74" s="3"/>
      <c r="S74" s="3"/>
      <c r="T74" s="3"/>
      <c r="U74" s="3"/>
    </row>
    <row r="75">
      <c r="A75" s="3"/>
      <c r="B75" s="3"/>
      <c r="C75" s="3"/>
      <c r="D75" s="3"/>
      <c r="E75" s="15">
        <v>46313.0</v>
      </c>
      <c r="F75" s="16" t="s">
        <v>13</v>
      </c>
      <c r="G75" s="23">
        <v>856.0</v>
      </c>
      <c r="H75" s="3"/>
      <c r="I75" s="75">
        <f t="shared" si="4"/>
        <v>46320</v>
      </c>
      <c r="J75" s="70">
        <f t="shared" si="1"/>
        <v>465.5172414</v>
      </c>
      <c r="K75" s="76">
        <f t="shared" si="5"/>
        <v>152495.0345</v>
      </c>
      <c r="L75" s="72">
        <f>L45*31</f>
        <v>175917.7667</v>
      </c>
      <c r="M75" s="73" t="str">
        <f t="shared" si="2"/>
        <v>#N/A</v>
      </c>
      <c r="N75" s="74" t="str">
        <f t="shared" si="3"/>
        <v>#N/A</v>
      </c>
      <c r="O75" s="3"/>
      <c r="P75" s="3"/>
      <c r="Q75" s="4"/>
      <c r="R75" s="3"/>
      <c r="S75" s="3"/>
      <c r="T75" s="3"/>
      <c r="U75" s="3"/>
    </row>
    <row r="76">
      <c r="A76" s="3"/>
      <c r="B76" s="3"/>
      <c r="C76" s="3"/>
      <c r="D76" s="3"/>
      <c r="E76" s="15">
        <v>46314.0</v>
      </c>
      <c r="F76" s="16" t="s">
        <v>13</v>
      </c>
      <c r="G76" s="23">
        <v>230.0</v>
      </c>
      <c r="H76" s="3"/>
      <c r="I76" s="3"/>
      <c r="J76" s="3"/>
      <c r="K76" s="3"/>
      <c r="L76" s="3"/>
      <c r="M76" s="3"/>
      <c r="N76" s="3"/>
      <c r="O76" s="3"/>
      <c r="P76" s="3"/>
      <c r="Q76" s="4"/>
      <c r="R76" s="3"/>
      <c r="S76" s="3"/>
      <c r="T76" s="3"/>
      <c r="U76" s="3"/>
    </row>
    <row r="77">
      <c r="A77" s="3"/>
      <c r="B77" s="3"/>
      <c r="C77" s="3"/>
      <c r="D77" s="3"/>
      <c r="E77" s="15">
        <v>46314.0</v>
      </c>
      <c r="F77" s="16" t="s">
        <v>14</v>
      </c>
      <c r="G77" s="23">
        <v>1737.0</v>
      </c>
      <c r="H77" s="3"/>
      <c r="I77" s="3"/>
      <c r="J77" s="3"/>
      <c r="K77" s="3"/>
      <c r="L77" s="3"/>
      <c r="M77" s="3"/>
      <c r="N77" s="3"/>
      <c r="O77" s="3"/>
      <c r="P77" s="3"/>
      <c r="Q77" s="4"/>
      <c r="R77" s="3"/>
      <c r="S77" s="3"/>
      <c r="T77" s="3"/>
      <c r="U77" s="3"/>
    </row>
    <row r="78">
      <c r="A78" s="3"/>
      <c r="B78" s="3"/>
      <c r="C78" s="3"/>
      <c r="D78" s="3"/>
      <c r="E78" s="15">
        <v>46315.0</v>
      </c>
      <c r="F78" s="16" t="s">
        <v>16</v>
      </c>
      <c r="G78" s="23">
        <v>1492.0</v>
      </c>
      <c r="H78" s="3"/>
      <c r="I78" s="3"/>
      <c r="J78" s="3"/>
      <c r="K78" s="3"/>
      <c r="L78" s="3"/>
      <c r="M78" s="3"/>
      <c r="N78" s="3"/>
      <c r="O78" s="3"/>
      <c r="P78" s="3"/>
      <c r="Q78" s="4"/>
      <c r="R78" s="3"/>
      <c r="S78" s="3"/>
      <c r="T78" s="3"/>
      <c r="U78" s="3"/>
    </row>
    <row r="79">
      <c r="A79" s="3"/>
      <c r="B79" s="3"/>
      <c r="C79" s="3"/>
      <c r="D79" s="3"/>
      <c r="E79" s="15">
        <v>46315.0</v>
      </c>
      <c r="F79" s="16" t="s">
        <v>11</v>
      </c>
      <c r="G79" s="23">
        <v>950.0</v>
      </c>
      <c r="H79" s="3"/>
      <c r="I79" s="3"/>
      <c r="J79" s="3"/>
      <c r="K79" s="3"/>
      <c r="L79" s="3"/>
      <c r="M79" s="3"/>
      <c r="N79" s="3"/>
      <c r="O79" s="3"/>
      <c r="P79" s="3"/>
      <c r="Q79" s="4"/>
      <c r="R79" s="3"/>
      <c r="S79" s="3"/>
      <c r="T79" s="3"/>
      <c r="U79" s="3"/>
    </row>
    <row r="80">
      <c r="A80" s="3"/>
      <c r="B80" s="3"/>
      <c r="C80" s="3"/>
      <c r="D80" s="3"/>
      <c r="E80" s="15">
        <v>46316.0</v>
      </c>
      <c r="F80" s="16" t="s">
        <v>17</v>
      </c>
      <c r="G80" s="23">
        <v>1000.0</v>
      </c>
      <c r="H80" s="3"/>
      <c r="I80" s="3"/>
      <c r="J80" s="3"/>
      <c r="K80" s="3"/>
      <c r="L80" s="3"/>
      <c r="M80" s="3"/>
      <c r="N80" s="3"/>
      <c r="O80" s="3"/>
      <c r="P80" s="3"/>
      <c r="Q80" s="4"/>
      <c r="R80" s="3"/>
      <c r="S80" s="3"/>
      <c r="T80" s="3"/>
      <c r="U80" s="3"/>
    </row>
    <row r="81">
      <c r="A81" s="3"/>
      <c r="B81" s="3"/>
      <c r="C81" s="3"/>
      <c r="D81" s="3"/>
      <c r="E81" s="15">
        <v>46316.0</v>
      </c>
      <c r="F81" s="16" t="s">
        <v>11</v>
      </c>
      <c r="G81" s="23">
        <v>690.0</v>
      </c>
      <c r="H81" s="3"/>
      <c r="I81" s="3"/>
      <c r="J81" s="3"/>
      <c r="K81" s="3"/>
      <c r="L81" s="3"/>
      <c r="M81" s="3"/>
      <c r="N81" s="3"/>
      <c r="O81" s="3"/>
      <c r="P81" s="3"/>
      <c r="Q81" s="4"/>
      <c r="R81" s="3"/>
      <c r="S81" s="3"/>
      <c r="T81" s="3"/>
      <c r="U81" s="3"/>
    </row>
    <row r="82">
      <c r="A82" s="3"/>
      <c r="B82" s="3"/>
      <c r="C82" s="3"/>
      <c r="D82" s="3"/>
      <c r="E82" s="15">
        <v>46316.0</v>
      </c>
      <c r="F82" s="16" t="s">
        <v>11</v>
      </c>
      <c r="G82" s="23">
        <v>830.0</v>
      </c>
      <c r="H82" s="3"/>
      <c r="I82" s="3"/>
      <c r="J82" s="3"/>
      <c r="K82" s="3"/>
      <c r="L82" s="3"/>
      <c r="M82" s="3"/>
      <c r="N82" s="3"/>
      <c r="O82" s="3"/>
      <c r="P82" s="3"/>
      <c r="Q82" s="4"/>
      <c r="R82" s="3"/>
      <c r="S82" s="3"/>
      <c r="T82" s="3"/>
      <c r="U82" s="3"/>
    </row>
    <row r="83">
      <c r="A83" s="3"/>
      <c r="B83" s="3"/>
      <c r="C83" s="3"/>
      <c r="D83" s="3"/>
      <c r="E83" s="15">
        <v>46316.0</v>
      </c>
      <c r="F83" s="16" t="s">
        <v>16</v>
      </c>
      <c r="G83" s="23">
        <v>430.0</v>
      </c>
      <c r="H83" s="3"/>
      <c r="I83" s="3"/>
      <c r="J83" s="3"/>
      <c r="K83" s="3"/>
      <c r="L83" s="3"/>
      <c r="M83" s="3"/>
      <c r="N83" s="3"/>
      <c r="O83" s="3"/>
      <c r="P83" s="3"/>
      <c r="Q83" s="4"/>
      <c r="R83" s="3"/>
      <c r="S83" s="3"/>
      <c r="T83" s="3"/>
      <c r="U83" s="3"/>
    </row>
    <row r="84">
      <c r="A84" s="3"/>
      <c r="B84" s="3"/>
      <c r="C84" s="3"/>
      <c r="D84" s="3"/>
      <c r="E84" s="15">
        <v>46316.0</v>
      </c>
      <c r="F84" s="16" t="s">
        <v>13</v>
      </c>
      <c r="G84" s="23">
        <v>425.0</v>
      </c>
      <c r="H84" s="3"/>
      <c r="I84" s="3"/>
      <c r="J84" s="3"/>
      <c r="K84" s="3"/>
      <c r="L84" s="3"/>
      <c r="M84" s="3"/>
      <c r="N84" s="3"/>
      <c r="O84" s="3"/>
      <c r="P84" s="3"/>
      <c r="Q84" s="4"/>
      <c r="R84" s="3"/>
      <c r="S84" s="3"/>
      <c r="T84" s="3"/>
      <c r="U84" s="3"/>
    </row>
    <row r="85">
      <c r="A85" s="3"/>
      <c r="B85" s="3"/>
      <c r="C85" s="3"/>
      <c r="D85" s="3"/>
      <c r="E85" s="15">
        <v>46317.0</v>
      </c>
      <c r="F85" s="16" t="s">
        <v>17</v>
      </c>
      <c r="G85" s="23">
        <v>1000.0</v>
      </c>
      <c r="H85" s="3"/>
      <c r="I85" s="3"/>
      <c r="J85" s="3"/>
      <c r="K85" s="3"/>
      <c r="L85" s="3"/>
      <c r="M85" s="3"/>
      <c r="N85" s="3"/>
      <c r="O85" s="3"/>
      <c r="P85" s="3"/>
      <c r="Q85" s="4"/>
      <c r="R85" s="3"/>
      <c r="S85" s="3"/>
      <c r="T85" s="3"/>
      <c r="U85" s="3"/>
    </row>
    <row r="86">
      <c r="A86" s="3"/>
      <c r="B86" s="3"/>
      <c r="C86" s="3"/>
      <c r="D86" s="3"/>
      <c r="E86" s="15">
        <v>46317.0</v>
      </c>
      <c r="F86" s="16" t="s">
        <v>11</v>
      </c>
      <c r="G86" s="23">
        <v>690.0</v>
      </c>
      <c r="H86" s="3"/>
      <c r="I86" s="3"/>
      <c r="J86" s="3"/>
      <c r="K86" s="3"/>
      <c r="L86" s="3"/>
      <c r="M86" s="3"/>
      <c r="N86" s="3"/>
      <c r="O86" s="3"/>
      <c r="P86" s="3"/>
      <c r="Q86" s="4"/>
      <c r="R86" s="3"/>
      <c r="S86" s="3"/>
      <c r="T86" s="3"/>
      <c r="U86" s="3"/>
    </row>
    <row r="87">
      <c r="A87" s="3"/>
      <c r="B87" s="3"/>
      <c r="C87" s="3"/>
      <c r="D87" s="3"/>
      <c r="E87" s="15">
        <v>46317.0</v>
      </c>
      <c r="F87" s="16" t="s">
        <v>13</v>
      </c>
      <c r="G87" s="23">
        <v>441.0</v>
      </c>
      <c r="H87" s="3"/>
      <c r="I87" s="3"/>
      <c r="J87" s="3"/>
      <c r="K87" s="3"/>
      <c r="L87" s="3"/>
      <c r="M87" s="3"/>
      <c r="N87" s="3"/>
      <c r="O87" s="3"/>
      <c r="P87" s="3"/>
      <c r="Q87" s="4"/>
      <c r="R87" s="3"/>
      <c r="S87" s="3"/>
      <c r="T87" s="3"/>
      <c r="U87" s="3"/>
    </row>
    <row r="88">
      <c r="A88" s="3"/>
      <c r="B88" s="3"/>
      <c r="C88" s="3"/>
      <c r="D88" s="3"/>
      <c r="E88" s="15">
        <v>46317.0</v>
      </c>
      <c r="F88" s="16" t="s">
        <v>28</v>
      </c>
      <c r="G88" s="23">
        <v>3990.0</v>
      </c>
      <c r="H88" s="3"/>
      <c r="I88" s="3"/>
      <c r="J88" s="3"/>
      <c r="K88" s="3"/>
      <c r="L88" s="3"/>
      <c r="M88" s="3"/>
      <c r="N88" s="3"/>
      <c r="O88" s="3"/>
      <c r="P88" s="3"/>
      <c r="Q88" s="4"/>
      <c r="R88" s="3"/>
      <c r="S88" s="3"/>
      <c r="T88" s="3"/>
      <c r="U88" s="3"/>
    </row>
    <row r="89">
      <c r="A89" s="3"/>
      <c r="B89" s="3"/>
      <c r="C89" s="3"/>
      <c r="D89" s="3"/>
      <c r="E89" s="15">
        <v>46317.0</v>
      </c>
      <c r="F89" s="16" t="s">
        <v>17</v>
      </c>
      <c r="G89" s="23">
        <v>1000.0</v>
      </c>
      <c r="H89" s="3"/>
      <c r="I89" s="3"/>
      <c r="J89" s="3"/>
      <c r="K89" s="3"/>
      <c r="L89" s="3"/>
      <c r="M89" s="3"/>
      <c r="N89" s="3"/>
      <c r="O89" s="3"/>
      <c r="P89" s="3"/>
      <c r="Q89" s="4"/>
      <c r="R89" s="3"/>
      <c r="S89" s="3"/>
      <c r="T89" s="3"/>
      <c r="U89" s="3"/>
    </row>
    <row r="90">
      <c r="A90" s="3"/>
      <c r="B90" s="3"/>
      <c r="C90" s="3"/>
      <c r="D90" s="3"/>
      <c r="E90" s="15">
        <v>46318.0</v>
      </c>
      <c r="F90" s="16" t="s">
        <v>13</v>
      </c>
      <c r="G90" s="23">
        <v>400.0</v>
      </c>
      <c r="H90" s="3"/>
      <c r="I90" s="3"/>
      <c r="J90" s="3"/>
      <c r="K90" s="3"/>
      <c r="L90" s="3"/>
      <c r="M90" s="3"/>
      <c r="N90" s="3"/>
      <c r="O90" s="3"/>
      <c r="P90" s="3"/>
      <c r="Q90" s="4"/>
      <c r="R90" s="3"/>
      <c r="S90" s="3"/>
      <c r="T90" s="3"/>
      <c r="U90" s="3"/>
    </row>
    <row r="91">
      <c r="A91" s="3"/>
      <c r="B91" s="3"/>
      <c r="C91" s="3"/>
      <c r="D91" s="3"/>
      <c r="E91" s="15">
        <v>46318.0</v>
      </c>
      <c r="F91" s="16" t="s">
        <v>17</v>
      </c>
      <c r="G91" s="23">
        <v>1000.0</v>
      </c>
      <c r="H91" s="3"/>
      <c r="I91" s="3"/>
      <c r="J91" s="3"/>
      <c r="K91" s="3"/>
      <c r="L91" s="3"/>
      <c r="M91" s="3"/>
      <c r="N91" s="3"/>
      <c r="O91" s="3"/>
      <c r="P91" s="3"/>
      <c r="Q91" s="4"/>
      <c r="R91" s="3"/>
      <c r="S91" s="3"/>
      <c r="T91" s="3"/>
      <c r="U91" s="3"/>
    </row>
    <row r="92">
      <c r="A92" s="3"/>
      <c r="B92" s="3"/>
      <c r="C92" s="3"/>
      <c r="D92" s="3"/>
      <c r="E92" s="15">
        <v>46318.0</v>
      </c>
      <c r="F92" s="16" t="s">
        <v>11</v>
      </c>
      <c r="G92" s="23">
        <v>594.0</v>
      </c>
      <c r="H92" s="3"/>
      <c r="I92" s="3"/>
      <c r="J92" s="3"/>
      <c r="K92" s="3"/>
      <c r="L92" s="3"/>
      <c r="M92" s="3"/>
      <c r="N92" s="3"/>
      <c r="O92" s="3"/>
      <c r="P92" s="3"/>
      <c r="Q92" s="4"/>
      <c r="R92" s="3"/>
      <c r="S92" s="3"/>
      <c r="T92" s="3"/>
      <c r="U92" s="3"/>
    </row>
    <row r="93">
      <c r="A93" s="3"/>
      <c r="B93" s="3"/>
      <c r="C93" s="3"/>
      <c r="D93" s="3"/>
      <c r="E93" s="15">
        <v>46318.0</v>
      </c>
      <c r="F93" s="16" t="s">
        <v>9</v>
      </c>
      <c r="G93" s="23">
        <v>7260.0</v>
      </c>
      <c r="H93" s="3"/>
      <c r="I93" s="3"/>
      <c r="J93" s="3"/>
      <c r="K93" s="3"/>
      <c r="L93" s="3"/>
      <c r="M93" s="3"/>
      <c r="N93" s="3"/>
      <c r="O93" s="3"/>
      <c r="P93" s="3"/>
      <c r="Q93" s="4"/>
      <c r="R93" s="3"/>
      <c r="S93" s="3"/>
      <c r="T93" s="3"/>
      <c r="U93" s="3"/>
    </row>
    <row r="94">
      <c r="A94" s="3"/>
      <c r="B94" s="3"/>
      <c r="C94" s="3"/>
      <c r="D94" s="3"/>
      <c r="E94" s="15">
        <v>46319.0</v>
      </c>
      <c r="F94" s="16" t="s">
        <v>16</v>
      </c>
      <c r="G94" s="23">
        <v>897.0</v>
      </c>
      <c r="H94" s="3"/>
      <c r="I94" s="3"/>
      <c r="J94" s="3"/>
      <c r="K94" s="3"/>
      <c r="L94" s="3"/>
      <c r="M94" s="3"/>
      <c r="N94" s="3"/>
      <c r="O94" s="3"/>
      <c r="P94" s="3"/>
      <c r="Q94" s="4"/>
      <c r="R94" s="3"/>
      <c r="S94" s="3"/>
      <c r="T94" s="3"/>
      <c r="U94" s="3"/>
    </row>
    <row r="95">
      <c r="A95" s="3"/>
      <c r="B95" s="3"/>
      <c r="C95" s="3"/>
      <c r="D95" s="3"/>
      <c r="E95" s="15">
        <v>46319.0</v>
      </c>
      <c r="F95" s="16" t="s">
        <v>13</v>
      </c>
      <c r="G95" s="23">
        <v>710.0</v>
      </c>
      <c r="H95" s="3"/>
      <c r="I95" s="3"/>
      <c r="J95" s="3"/>
      <c r="K95" s="3"/>
      <c r="L95" s="3"/>
      <c r="M95" s="3"/>
      <c r="N95" s="3"/>
      <c r="O95" s="3"/>
      <c r="P95" s="3"/>
      <c r="Q95" s="4"/>
      <c r="R95" s="3"/>
      <c r="S95" s="3"/>
      <c r="T95" s="3"/>
      <c r="U95" s="3"/>
    </row>
    <row r="96">
      <c r="A96" s="3"/>
      <c r="B96" s="3"/>
      <c r="C96" s="3"/>
      <c r="D96" s="3"/>
      <c r="E96" s="15"/>
      <c r="F96" s="16"/>
      <c r="G96" s="23"/>
      <c r="H96" s="3"/>
      <c r="I96" s="3"/>
      <c r="J96" s="3"/>
      <c r="K96" s="3"/>
      <c r="L96" s="3"/>
      <c r="M96" s="3"/>
      <c r="N96" s="3"/>
      <c r="O96" s="3"/>
      <c r="P96" s="3"/>
      <c r="Q96" s="4"/>
      <c r="R96" s="3"/>
      <c r="S96" s="3"/>
      <c r="T96" s="3"/>
      <c r="U96" s="3"/>
    </row>
    <row r="97">
      <c r="A97" s="3"/>
      <c r="B97" s="3"/>
      <c r="C97" s="3"/>
      <c r="D97" s="3"/>
      <c r="E97" s="15"/>
      <c r="F97" s="16"/>
      <c r="G97" s="23"/>
      <c r="H97" s="3"/>
      <c r="I97" s="3"/>
      <c r="J97" s="3"/>
      <c r="K97" s="3"/>
      <c r="L97" s="3"/>
      <c r="M97" s="3"/>
      <c r="N97" s="3"/>
      <c r="O97" s="3"/>
      <c r="P97" s="3"/>
      <c r="Q97" s="4"/>
      <c r="R97" s="3"/>
      <c r="S97" s="3"/>
      <c r="T97" s="3"/>
      <c r="U97" s="3"/>
    </row>
    <row r="98">
      <c r="A98" s="3"/>
      <c r="B98" s="3"/>
      <c r="C98" s="3"/>
      <c r="D98" s="3"/>
      <c r="E98" s="15"/>
      <c r="F98" s="16"/>
      <c r="G98" s="23"/>
      <c r="H98" s="3"/>
      <c r="I98" s="3"/>
      <c r="J98" s="3"/>
      <c r="K98" s="3"/>
      <c r="L98" s="3"/>
      <c r="M98" s="3"/>
      <c r="N98" s="3"/>
      <c r="O98" s="3"/>
      <c r="P98" s="3"/>
      <c r="Q98" s="4"/>
      <c r="R98" s="3"/>
      <c r="S98" s="3"/>
      <c r="T98" s="3"/>
      <c r="U98" s="3"/>
    </row>
    <row r="99">
      <c r="A99" s="3"/>
      <c r="B99" s="3"/>
      <c r="C99" s="3"/>
      <c r="D99" s="3"/>
      <c r="E99" s="15"/>
      <c r="F99" s="16"/>
      <c r="G99" s="23"/>
      <c r="H99" s="3"/>
      <c r="I99" s="3"/>
      <c r="J99" s="3"/>
      <c r="K99" s="3"/>
      <c r="L99" s="3"/>
      <c r="M99" s="3"/>
      <c r="N99" s="3"/>
      <c r="O99" s="3"/>
      <c r="P99" s="3"/>
      <c r="Q99" s="4"/>
      <c r="R99" s="3"/>
      <c r="S99" s="3"/>
      <c r="T99" s="3"/>
      <c r="U99" s="3"/>
    </row>
    <row r="100">
      <c r="A100" s="3"/>
      <c r="B100" s="3"/>
      <c r="C100" s="3"/>
      <c r="D100" s="3"/>
      <c r="E100" s="15"/>
      <c r="F100" s="16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3"/>
      <c r="S100" s="3"/>
      <c r="T100" s="3"/>
      <c r="U100" s="3"/>
    </row>
    <row r="101">
      <c r="A101" s="3"/>
      <c r="B101" s="3"/>
      <c r="C101" s="3"/>
      <c r="D101" s="3"/>
      <c r="E101" s="15"/>
      <c r="F101" s="16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3"/>
      <c r="S101" s="3"/>
      <c r="T101" s="3"/>
      <c r="U101" s="3"/>
    </row>
    <row r="102">
      <c r="A102" s="3"/>
      <c r="B102" s="3"/>
      <c r="C102" s="3"/>
      <c r="D102" s="3"/>
      <c r="E102" s="15"/>
      <c r="F102" s="16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4"/>
      <c r="R102" s="3"/>
      <c r="S102" s="3"/>
      <c r="T102" s="3"/>
      <c r="U102" s="3"/>
    </row>
    <row r="103">
      <c r="A103" s="3"/>
      <c r="B103" s="3"/>
      <c r="C103" s="3"/>
      <c r="D103" s="3"/>
      <c r="E103" s="15"/>
      <c r="F103" s="16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3"/>
      <c r="S103" s="3"/>
      <c r="T103" s="3"/>
      <c r="U103" s="3"/>
    </row>
    <row r="104">
      <c r="A104" s="3"/>
      <c r="B104" s="3"/>
      <c r="C104" s="3"/>
      <c r="D104" s="3"/>
      <c r="E104" s="15"/>
      <c r="F104" s="16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4"/>
      <c r="R104" s="3"/>
      <c r="S104" s="3"/>
      <c r="T104" s="3"/>
      <c r="U104" s="3"/>
    </row>
    <row r="105">
      <c r="A105" s="3"/>
      <c r="B105" s="3"/>
      <c r="C105" s="3"/>
      <c r="D105" s="3"/>
      <c r="E105" s="15"/>
      <c r="F105" s="16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3"/>
      <c r="S105" s="3"/>
      <c r="T105" s="3"/>
      <c r="U105" s="3"/>
    </row>
    <row r="106">
      <c r="A106" s="3"/>
      <c r="B106" s="3"/>
      <c r="C106" s="3"/>
      <c r="D106" s="3"/>
      <c r="E106" s="15"/>
      <c r="F106" s="16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3"/>
      <c r="S106" s="3"/>
      <c r="T106" s="3"/>
      <c r="U106" s="3"/>
    </row>
    <row r="107">
      <c r="A107" s="3"/>
      <c r="B107" s="3"/>
      <c r="C107" s="3"/>
      <c r="D107" s="3"/>
      <c r="E107" s="15"/>
      <c r="F107" s="16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3"/>
      <c r="S107" s="3"/>
      <c r="T107" s="3"/>
      <c r="U107" s="3"/>
    </row>
    <row r="108">
      <c r="A108" s="3"/>
      <c r="B108" s="3"/>
      <c r="C108" s="3"/>
      <c r="D108" s="3"/>
      <c r="E108" s="15"/>
      <c r="F108" s="16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3"/>
      <c r="S108" s="3"/>
      <c r="T108" s="3"/>
      <c r="U108" s="3"/>
    </row>
    <row r="109">
      <c r="A109" s="3"/>
      <c r="B109" s="3"/>
      <c r="C109" s="3"/>
      <c r="D109" s="3"/>
      <c r="E109" s="15"/>
      <c r="F109" s="16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3"/>
      <c r="S109" s="3"/>
      <c r="T109" s="3"/>
      <c r="U109" s="3"/>
    </row>
    <row r="110">
      <c r="A110" s="3"/>
      <c r="B110" s="3"/>
      <c r="C110" s="3"/>
      <c r="D110" s="3"/>
      <c r="E110" s="15"/>
      <c r="F110" s="16"/>
      <c r="G110" s="2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3"/>
      <c r="S110" s="3"/>
      <c r="T110" s="3"/>
      <c r="U110" s="3"/>
    </row>
    <row r="111">
      <c r="A111" s="3"/>
      <c r="B111" s="3"/>
      <c r="C111" s="3"/>
      <c r="D111" s="3"/>
      <c r="E111" s="15"/>
      <c r="F111" s="16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3"/>
      <c r="S111" s="3"/>
      <c r="T111" s="3"/>
      <c r="U111" s="3"/>
    </row>
    <row r="112">
      <c r="A112" s="3"/>
      <c r="B112" s="3"/>
      <c r="C112" s="3"/>
      <c r="D112" s="3"/>
      <c r="E112" s="15"/>
      <c r="F112" s="16"/>
      <c r="G112" s="2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3"/>
      <c r="S112" s="3"/>
      <c r="T112" s="3"/>
      <c r="U112" s="3"/>
    </row>
    <row r="113">
      <c r="A113" s="3"/>
      <c r="B113" s="3"/>
      <c r="C113" s="3"/>
      <c r="D113" s="3"/>
      <c r="E113" s="15"/>
      <c r="F113" s="16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4"/>
      <c r="R113" s="3"/>
      <c r="S113" s="3"/>
      <c r="T113" s="3"/>
      <c r="U113" s="3"/>
    </row>
    <row r="114">
      <c r="A114" s="3"/>
      <c r="B114" s="3"/>
      <c r="C114" s="3"/>
      <c r="D114" s="3"/>
      <c r="E114" s="15"/>
      <c r="F114" s="16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3"/>
      <c r="S114" s="3"/>
      <c r="T114" s="3"/>
      <c r="U114" s="3"/>
    </row>
    <row r="115">
      <c r="A115" s="3"/>
      <c r="B115" s="3"/>
      <c r="C115" s="3"/>
      <c r="D115" s="3"/>
      <c r="E115" s="15"/>
      <c r="F115" s="16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4"/>
      <c r="R115" s="3"/>
      <c r="S115" s="3"/>
      <c r="T115" s="3"/>
      <c r="U115" s="3"/>
    </row>
    <row r="116">
      <c r="A116" s="3"/>
      <c r="B116" s="3"/>
      <c r="C116" s="3"/>
      <c r="D116" s="3"/>
      <c r="E116" s="15"/>
      <c r="F116" s="16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3"/>
      <c r="S116" s="3"/>
      <c r="T116" s="3"/>
      <c r="U116" s="3"/>
    </row>
    <row r="117">
      <c r="A117" s="3"/>
      <c r="B117" s="3"/>
      <c r="C117" s="3"/>
      <c r="D117" s="3"/>
      <c r="E117" s="78"/>
      <c r="F117" s="79"/>
      <c r="G117" s="18"/>
      <c r="H117" s="3"/>
      <c r="I117" s="3"/>
      <c r="J117" s="3"/>
      <c r="K117" s="3"/>
      <c r="L117" s="3"/>
      <c r="M117" s="3"/>
      <c r="N117" s="3"/>
      <c r="O117" s="3"/>
      <c r="P117" s="3"/>
      <c r="Q117" s="4"/>
      <c r="R117" s="3"/>
      <c r="S117" s="3"/>
      <c r="T117" s="3"/>
      <c r="U117" s="3"/>
    </row>
    <row r="118">
      <c r="A118" s="3"/>
      <c r="B118" s="3"/>
      <c r="C118" s="3"/>
      <c r="D118" s="3"/>
      <c r="E118" s="78"/>
      <c r="F118" s="79"/>
      <c r="G118" s="18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3"/>
      <c r="S118" s="3"/>
      <c r="T118" s="3"/>
      <c r="U118" s="3"/>
    </row>
    <row r="119">
      <c r="A119" s="3"/>
      <c r="B119" s="3"/>
      <c r="C119" s="3"/>
      <c r="D119" s="3"/>
      <c r="E119" s="78"/>
      <c r="F119" s="79"/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4"/>
      <c r="R119" s="3"/>
      <c r="S119" s="3"/>
      <c r="T119" s="3"/>
      <c r="U119" s="3"/>
    </row>
    <row r="120">
      <c r="A120" s="3"/>
      <c r="B120" s="3"/>
      <c r="C120" s="3"/>
      <c r="D120" s="3"/>
      <c r="E120" s="78"/>
      <c r="F120" s="79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4"/>
      <c r="R120" s="3"/>
      <c r="S120" s="3"/>
      <c r="T120" s="3"/>
      <c r="U120" s="3"/>
    </row>
    <row r="121">
      <c r="A121" s="3"/>
      <c r="B121" s="3"/>
      <c r="C121" s="3"/>
      <c r="D121" s="3"/>
      <c r="E121" s="78"/>
      <c r="F121" s="79"/>
      <c r="G121" s="18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3"/>
      <c r="S121" s="3"/>
      <c r="T121" s="3"/>
      <c r="U121" s="3"/>
    </row>
    <row r="122">
      <c r="A122" s="3"/>
      <c r="B122" s="3"/>
      <c r="C122" s="3"/>
      <c r="D122" s="3"/>
      <c r="E122" s="78"/>
      <c r="F122" s="16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3"/>
      <c r="S122" s="3"/>
      <c r="T122" s="3"/>
      <c r="U122" s="3"/>
    </row>
    <row r="123">
      <c r="A123" s="3"/>
      <c r="B123" s="3"/>
      <c r="C123" s="3"/>
      <c r="D123" s="3"/>
      <c r="E123" s="78"/>
      <c r="F123" s="16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3"/>
      <c r="S123" s="3"/>
      <c r="T123" s="3"/>
      <c r="U123" s="3"/>
    </row>
    <row r="124">
      <c r="A124" s="3"/>
      <c r="B124" s="3"/>
      <c r="C124" s="3"/>
      <c r="D124" s="3"/>
      <c r="E124" s="78"/>
      <c r="F124" s="16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3"/>
      <c r="S124" s="3"/>
      <c r="T124" s="3"/>
      <c r="U124" s="3"/>
    </row>
    <row r="125">
      <c r="A125" s="3"/>
      <c r="B125" s="3"/>
      <c r="C125" s="3"/>
      <c r="D125" s="3"/>
      <c r="E125" s="78"/>
      <c r="F125" s="16"/>
      <c r="G125" s="2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3"/>
      <c r="S125" s="3"/>
      <c r="T125" s="3"/>
      <c r="U125" s="3"/>
    </row>
    <row r="126">
      <c r="A126" s="3"/>
      <c r="B126" s="3"/>
      <c r="C126" s="3"/>
      <c r="D126" s="3"/>
      <c r="E126" s="78"/>
      <c r="F126" s="16"/>
      <c r="G126" s="2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3"/>
      <c r="S126" s="3"/>
      <c r="T126" s="3"/>
      <c r="U126" s="3"/>
    </row>
    <row r="127">
      <c r="A127" s="3"/>
      <c r="B127" s="3"/>
      <c r="C127" s="3"/>
      <c r="D127" s="3"/>
      <c r="E127" s="78"/>
      <c r="F127" s="16"/>
      <c r="G127" s="2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3"/>
      <c r="S127" s="3"/>
      <c r="T127" s="3"/>
      <c r="U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138064</v>
      </c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3"/>
      <c r="S128" s="3"/>
      <c r="T128" s="3"/>
      <c r="U128" s="3"/>
    </row>
    <row r="129">
      <c r="A129" s="3"/>
      <c r="B129" s="3"/>
      <c r="C129" s="3"/>
      <c r="D129" s="3"/>
      <c r="E129" s="4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3"/>
      <c r="S129" s="3"/>
      <c r="T129" s="3"/>
      <c r="U129" s="3"/>
    </row>
    <row r="130">
      <c r="A130" s="3"/>
      <c r="B130" s="3"/>
      <c r="C130" s="3"/>
      <c r="D130" s="3"/>
      <c r="E130" s="4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3"/>
      <c r="S130" s="3"/>
      <c r="T130" s="3"/>
      <c r="U130" s="3"/>
    </row>
    <row r="131">
      <c r="A131" s="3"/>
      <c r="B131" s="3"/>
      <c r="C131" s="3"/>
      <c r="D131" s="3"/>
      <c r="E131" s="4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3"/>
      <c r="S131" s="3"/>
      <c r="T131" s="3"/>
      <c r="U131" s="3"/>
    </row>
    <row r="132">
      <c r="A132" s="3"/>
      <c r="B132" s="3"/>
      <c r="C132" s="3"/>
      <c r="D132" s="3"/>
      <c r="E132" s="4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4"/>
      <c r="R132" s="3"/>
      <c r="S132" s="3"/>
      <c r="T132" s="3"/>
      <c r="U132" s="3"/>
    </row>
    <row r="133">
      <c r="A133" s="3"/>
      <c r="B133" s="3"/>
      <c r="C133" s="3"/>
      <c r="D133" s="3"/>
      <c r="E133" s="4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4"/>
      <c r="R133" s="3"/>
      <c r="S133" s="3"/>
      <c r="T133" s="3"/>
      <c r="U133" s="3"/>
    </row>
    <row r="134">
      <c r="A134" s="3"/>
      <c r="B134" s="3"/>
      <c r="C134" s="3"/>
      <c r="D134" s="3"/>
      <c r="E134" s="4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4"/>
      <c r="R134" s="3"/>
      <c r="S134" s="3"/>
      <c r="T134" s="3"/>
      <c r="U134" s="3"/>
    </row>
    <row r="135">
      <c r="A135" s="3"/>
      <c r="B135" s="3"/>
      <c r="C135" s="3"/>
      <c r="D135" s="3"/>
      <c r="E135" s="4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3"/>
      <c r="S135" s="3"/>
      <c r="T135" s="3"/>
      <c r="U135" s="3"/>
    </row>
    <row r="136">
      <c r="A136" s="3"/>
      <c r="B136" s="3"/>
      <c r="C136" s="3"/>
      <c r="D136" s="3"/>
      <c r="E136" s="4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3"/>
      <c r="S136" s="3"/>
      <c r="T136" s="3"/>
      <c r="U136" s="3"/>
    </row>
    <row r="137">
      <c r="A137" s="3"/>
      <c r="B137" s="3"/>
      <c r="C137" s="3"/>
      <c r="D137" s="3"/>
      <c r="E137" s="4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3"/>
      <c r="S137" s="3"/>
      <c r="T137" s="3"/>
      <c r="U137" s="3"/>
    </row>
    <row r="138">
      <c r="A138" s="3"/>
      <c r="B138" s="3"/>
      <c r="C138" s="3"/>
      <c r="D138" s="3"/>
      <c r="E138" s="4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3"/>
      <c r="S138" s="3"/>
      <c r="T138" s="3"/>
      <c r="U138" s="3"/>
    </row>
    <row r="139">
      <c r="A139" s="3"/>
      <c r="B139" s="3"/>
      <c r="C139" s="3"/>
      <c r="D139" s="3"/>
      <c r="E139" s="4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3"/>
      <c r="S139" s="3"/>
      <c r="T139" s="3"/>
      <c r="U139" s="3"/>
    </row>
    <row r="140">
      <c r="A140" s="3"/>
      <c r="B140" s="3"/>
      <c r="C140" s="3"/>
      <c r="D140" s="3"/>
      <c r="E140" s="4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3"/>
      <c r="S140" s="3"/>
      <c r="T140" s="3"/>
      <c r="U140" s="3"/>
    </row>
    <row r="141">
      <c r="A141" s="3"/>
      <c r="B141" s="3"/>
      <c r="C141" s="3"/>
      <c r="D141" s="3"/>
      <c r="E141" s="4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3"/>
      <c r="S141" s="3"/>
      <c r="T141" s="3"/>
      <c r="U141" s="3"/>
    </row>
    <row r="142">
      <c r="A142" s="3"/>
      <c r="B142" s="3"/>
      <c r="C142" s="3"/>
      <c r="D142" s="3"/>
      <c r="E142" s="4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3"/>
      <c r="S142" s="3"/>
      <c r="T142" s="3"/>
      <c r="U142" s="3"/>
    </row>
    <row r="143">
      <c r="A143" s="3"/>
      <c r="B143" s="3"/>
      <c r="C143" s="3"/>
      <c r="D143" s="3"/>
      <c r="E143" s="4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3"/>
      <c r="S143" s="3"/>
      <c r="T143" s="3"/>
      <c r="U143" s="3"/>
    </row>
    <row r="144">
      <c r="A144" s="3"/>
      <c r="B144" s="3"/>
      <c r="C144" s="3"/>
      <c r="D144" s="3"/>
      <c r="E144" s="4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3"/>
      <c r="S144" s="3"/>
      <c r="T144" s="3"/>
      <c r="U144" s="3"/>
    </row>
    <row r="145">
      <c r="A145" s="3"/>
      <c r="B145" s="3"/>
      <c r="C145" s="3"/>
      <c r="D145" s="3"/>
      <c r="E145" s="4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3"/>
      <c r="S145" s="3"/>
      <c r="T145" s="3"/>
      <c r="U145" s="3"/>
    </row>
    <row r="146">
      <c r="A146" s="3"/>
      <c r="B146" s="3"/>
      <c r="C146" s="3"/>
      <c r="D146" s="3"/>
      <c r="E146" s="4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3"/>
      <c r="S146" s="3"/>
      <c r="T146" s="3"/>
      <c r="U146" s="3"/>
    </row>
    <row r="147">
      <c r="A147" s="3"/>
      <c r="B147" s="3"/>
      <c r="C147" s="3"/>
      <c r="D147" s="3"/>
      <c r="E147" s="4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3"/>
      <c r="S147" s="3"/>
      <c r="T147" s="3"/>
      <c r="U147" s="3"/>
    </row>
    <row r="148">
      <c r="A148" s="3"/>
      <c r="B148" s="3"/>
      <c r="C148" s="3"/>
      <c r="D148" s="3"/>
      <c r="E148" s="4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3"/>
      <c r="S148" s="3"/>
      <c r="T148" s="3"/>
      <c r="U148" s="3"/>
    </row>
    <row r="149">
      <c r="A149" s="3"/>
      <c r="B149" s="3"/>
      <c r="C149" s="3"/>
      <c r="D149" s="3"/>
      <c r="E149" s="4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3"/>
      <c r="S149" s="3"/>
      <c r="T149" s="3"/>
      <c r="U149" s="3"/>
    </row>
    <row r="150">
      <c r="A150" s="3"/>
      <c r="B150" s="3"/>
      <c r="C150" s="3"/>
      <c r="D150" s="3"/>
      <c r="E150" s="4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3"/>
      <c r="S150" s="3"/>
      <c r="T150" s="3"/>
      <c r="U150" s="3"/>
    </row>
    <row r="151">
      <c r="A151" s="3"/>
      <c r="B151" s="3"/>
      <c r="C151" s="3"/>
      <c r="D151" s="3"/>
      <c r="E151" s="4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3"/>
      <c r="S151" s="3"/>
      <c r="T151" s="3"/>
      <c r="U151" s="3"/>
    </row>
    <row r="152">
      <c r="A152" s="3"/>
      <c r="B152" s="3"/>
      <c r="C152" s="3"/>
      <c r="D152" s="3"/>
      <c r="E152" s="4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3"/>
      <c r="S152" s="3"/>
      <c r="T152" s="3"/>
      <c r="U152" s="3"/>
    </row>
    <row r="153">
      <c r="A153" s="3"/>
      <c r="B153" s="3"/>
      <c r="C153" s="3"/>
      <c r="D153" s="3"/>
      <c r="E153" s="4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3"/>
      <c r="S153" s="3"/>
      <c r="T153" s="3"/>
      <c r="U153" s="3"/>
    </row>
    <row r="154">
      <c r="A154" s="3"/>
      <c r="B154" s="3"/>
      <c r="C154" s="3"/>
      <c r="D154" s="3"/>
      <c r="E154" s="4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3"/>
      <c r="S154" s="3"/>
      <c r="T154" s="3"/>
      <c r="U154" s="3"/>
    </row>
    <row r="155">
      <c r="A155" s="3"/>
      <c r="B155" s="3"/>
      <c r="C155" s="3"/>
      <c r="D155" s="3"/>
      <c r="E155" s="4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3"/>
      <c r="S155" s="3"/>
      <c r="T155" s="3"/>
      <c r="U155" s="3"/>
    </row>
    <row r="156">
      <c r="A156" s="3"/>
      <c r="B156" s="3"/>
      <c r="C156" s="3"/>
      <c r="D156" s="3"/>
      <c r="E156" s="4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3"/>
      <c r="S156" s="3"/>
      <c r="T156" s="3"/>
      <c r="U156" s="3"/>
    </row>
    <row r="157">
      <c r="A157" s="3"/>
      <c r="B157" s="3"/>
      <c r="C157" s="3"/>
      <c r="D157" s="3"/>
      <c r="E157" s="4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3"/>
      <c r="S157" s="3"/>
      <c r="T157" s="3"/>
      <c r="U157" s="3"/>
    </row>
    <row r="158">
      <c r="A158" s="3"/>
      <c r="B158" s="3"/>
      <c r="C158" s="3"/>
      <c r="D158" s="3"/>
      <c r="E158" s="4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3"/>
      <c r="S158" s="3"/>
      <c r="T158" s="3"/>
      <c r="U158" s="3"/>
    </row>
    <row r="159">
      <c r="A159" s="3"/>
      <c r="B159" s="3"/>
      <c r="C159" s="3"/>
      <c r="D159" s="3"/>
      <c r="E159" s="4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3"/>
      <c r="S159" s="3"/>
      <c r="T159" s="3"/>
      <c r="U159" s="3"/>
    </row>
    <row r="160">
      <c r="A160" s="3"/>
      <c r="B160" s="3"/>
      <c r="C160" s="3"/>
      <c r="D160" s="3"/>
      <c r="E160" s="4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3"/>
      <c r="S160" s="3"/>
      <c r="T160" s="3"/>
      <c r="U160" s="3"/>
    </row>
    <row r="161">
      <c r="A161" s="3"/>
      <c r="B161" s="3"/>
      <c r="C161" s="3"/>
      <c r="D161" s="3"/>
      <c r="E161" s="4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3"/>
      <c r="S161" s="3"/>
      <c r="T161" s="3"/>
      <c r="U161" s="3"/>
    </row>
    <row r="162">
      <c r="A162" s="3"/>
      <c r="B162" s="3"/>
      <c r="C162" s="3"/>
      <c r="D162" s="3"/>
      <c r="E162" s="4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3"/>
      <c r="S162" s="3"/>
      <c r="T162" s="3"/>
      <c r="U162" s="3"/>
    </row>
    <row r="163">
      <c r="A163" s="3"/>
      <c r="B163" s="3"/>
      <c r="C163" s="3"/>
      <c r="D163" s="3"/>
      <c r="E163" s="4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3"/>
      <c r="S163" s="3"/>
      <c r="T163" s="3"/>
      <c r="U163" s="3"/>
    </row>
    <row r="164">
      <c r="A164" s="3"/>
      <c r="B164" s="3"/>
      <c r="C164" s="3"/>
      <c r="D164" s="3"/>
      <c r="E164" s="4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4"/>
      <c r="R164" s="3"/>
      <c r="S164" s="3"/>
      <c r="T164" s="3"/>
      <c r="U164" s="3"/>
    </row>
    <row r="165">
      <c r="A165" s="3"/>
      <c r="B165" s="3"/>
      <c r="C165" s="3"/>
      <c r="D165" s="3"/>
      <c r="E165" s="4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4"/>
      <c r="R165" s="3"/>
      <c r="S165" s="3"/>
      <c r="T165" s="3"/>
      <c r="U165" s="3"/>
    </row>
    <row r="166">
      <c r="A166" s="3"/>
      <c r="B166" s="3"/>
      <c r="C166" s="3"/>
      <c r="D166" s="3"/>
      <c r="E166" s="4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4"/>
      <c r="R166" s="3"/>
      <c r="S166" s="3"/>
      <c r="T166" s="3"/>
      <c r="U166" s="3"/>
    </row>
    <row r="167">
      <c r="A167" s="3"/>
      <c r="B167" s="3"/>
      <c r="C167" s="3"/>
      <c r="D167" s="3"/>
      <c r="E167" s="4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3"/>
      <c r="S167" s="3"/>
      <c r="T167" s="3"/>
      <c r="U167" s="3"/>
    </row>
    <row r="168">
      <c r="A168" s="3"/>
      <c r="B168" s="3"/>
      <c r="C168" s="3"/>
      <c r="D168" s="3"/>
      <c r="E168" s="4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3"/>
      <c r="S168" s="3"/>
      <c r="T168" s="3"/>
      <c r="U168" s="3"/>
    </row>
    <row r="169">
      <c r="A169" s="3"/>
      <c r="B169" s="3"/>
      <c r="C169" s="3"/>
      <c r="D169" s="3"/>
      <c r="E169" s="4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3"/>
      <c r="S169" s="3"/>
      <c r="T169" s="3"/>
      <c r="U169" s="3"/>
    </row>
    <row r="170">
      <c r="A170" s="3"/>
      <c r="B170" s="3"/>
      <c r="C170" s="3"/>
      <c r="D170" s="3"/>
      <c r="E170" s="4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3"/>
      <c r="S170" s="3"/>
      <c r="T170" s="3"/>
      <c r="U170" s="3"/>
    </row>
    <row r="171">
      <c r="A171" s="3"/>
      <c r="B171" s="3"/>
      <c r="C171" s="3"/>
      <c r="D171" s="3"/>
      <c r="E171" s="4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3"/>
      <c r="S171" s="3"/>
      <c r="T171" s="3"/>
      <c r="U171" s="3"/>
    </row>
    <row r="172">
      <c r="A172" s="3"/>
      <c r="B172" s="3"/>
      <c r="C172" s="3"/>
      <c r="D172" s="3"/>
      <c r="E172" s="4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3"/>
      <c r="S172" s="3"/>
      <c r="T172" s="3"/>
      <c r="U172" s="3"/>
    </row>
    <row r="173">
      <c r="A173" s="3"/>
      <c r="B173" s="3"/>
      <c r="C173" s="3"/>
      <c r="D173" s="3"/>
      <c r="E173" s="4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3"/>
      <c r="S173" s="3"/>
      <c r="T173" s="3"/>
      <c r="U173" s="3"/>
    </row>
    <row r="174">
      <c r="A174" s="3"/>
      <c r="B174" s="3"/>
      <c r="C174" s="3"/>
      <c r="D174" s="3"/>
      <c r="E174" s="4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3"/>
      <c r="S174" s="3"/>
      <c r="T174" s="3"/>
      <c r="U174" s="3"/>
    </row>
    <row r="175">
      <c r="A175" s="3"/>
      <c r="B175" s="3"/>
      <c r="C175" s="3"/>
      <c r="D175" s="3"/>
      <c r="E175" s="4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3"/>
      <c r="S175" s="3"/>
      <c r="T175" s="3"/>
      <c r="U175" s="3"/>
    </row>
    <row r="176">
      <c r="A176" s="3"/>
      <c r="B176" s="3"/>
      <c r="C176" s="3"/>
      <c r="D176" s="3"/>
      <c r="E176" s="4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3"/>
      <c r="S176" s="3"/>
      <c r="T176" s="3"/>
      <c r="U176" s="3"/>
    </row>
    <row r="177">
      <c r="A177" s="3"/>
      <c r="B177" s="3"/>
      <c r="C177" s="3"/>
      <c r="D177" s="3"/>
      <c r="E177" s="4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3"/>
      <c r="S177" s="3"/>
      <c r="T177" s="3"/>
      <c r="U177" s="3"/>
    </row>
    <row r="178">
      <c r="A178" s="3"/>
      <c r="B178" s="3"/>
      <c r="C178" s="3"/>
      <c r="D178" s="3"/>
      <c r="E178" s="4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3"/>
      <c r="S178" s="3"/>
      <c r="T178" s="3"/>
      <c r="U178" s="3"/>
    </row>
    <row r="179">
      <c r="A179" s="3"/>
      <c r="B179" s="3"/>
      <c r="C179" s="3"/>
      <c r="D179" s="3"/>
      <c r="E179" s="4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3"/>
      <c r="S179" s="3"/>
      <c r="T179" s="3"/>
      <c r="U179" s="3"/>
    </row>
    <row r="180">
      <c r="A180" s="3"/>
      <c r="B180" s="3"/>
      <c r="C180" s="3"/>
      <c r="D180" s="3"/>
      <c r="E180" s="4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3"/>
      <c r="S180" s="3"/>
      <c r="T180" s="3"/>
      <c r="U180" s="3"/>
    </row>
    <row r="181">
      <c r="A181" s="3"/>
      <c r="B181" s="3"/>
      <c r="C181" s="3"/>
      <c r="D181" s="3"/>
      <c r="E181" s="4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3"/>
      <c r="S181" s="3"/>
      <c r="T181" s="3"/>
      <c r="U181" s="3"/>
    </row>
    <row r="182">
      <c r="A182" s="3"/>
      <c r="B182" s="3"/>
      <c r="C182" s="3"/>
      <c r="D182" s="3"/>
      <c r="E182" s="4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3"/>
      <c r="S182" s="3"/>
      <c r="T182" s="3"/>
      <c r="U182" s="3"/>
    </row>
    <row r="183">
      <c r="A183" s="3"/>
      <c r="B183" s="3"/>
      <c r="C183" s="3"/>
      <c r="D183" s="3"/>
      <c r="E183" s="4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4"/>
      <c r="R183" s="3"/>
      <c r="S183" s="3"/>
      <c r="T183" s="3"/>
      <c r="U183" s="3"/>
    </row>
    <row r="184">
      <c r="A184" s="3"/>
      <c r="B184" s="3"/>
      <c r="C184" s="3"/>
      <c r="D184" s="3"/>
      <c r="E184" s="4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4"/>
      <c r="R184" s="3"/>
      <c r="S184" s="3"/>
      <c r="T184" s="3"/>
      <c r="U184" s="3"/>
    </row>
    <row r="185">
      <c r="A185" s="3"/>
      <c r="B185" s="3"/>
      <c r="C185" s="3"/>
      <c r="D185" s="3"/>
      <c r="E185" s="4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4"/>
      <c r="R185" s="3"/>
      <c r="S185" s="3"/>
      <c r="T185" s="3"/>
      <c r="U185" s="3"/>
    </row>
    <row r="186">
      <c r="A186" s="3"/>
      <c r="B186" s="3"/>
      <c r="C186" s="3"/>
      <c r="D186" s="3"/>
      <c r="E186" s="4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4"/>
      <c r="R186" s="3"/>
      <c r="S186" s="3"/>
      <c r="T186" s="3"/>
      <c r="U186" s="3"/>
    </row>
    <row r="187">
      <c r="A187" s="3"/>
      <c r="B187" s="3"/>
      <c r="C187" s="3"/>
      <c r="D187" s="3"/>
      <c r="E187" s="4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4"/>
      <c r="R187" s="3"/>
      <c r="S187" s="3"/>
      <c r="T187" s="3"/>
      <c r="U187" s="3"/>
    </row>
    <row r="188">
      <c r="A188" s="3"/>
      <c r="B188" s="3"/>
      <c r="C188" s="3"/>
      <c r="D188" s="3"/>
      <c r="E188" s="4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4"/>
      <c r="R188" s="3"/>
      <c r="S188" s="3"/>
      <c r="T188" s="3"/>
      <c r="U188" s="3"/>
    </row>
    <row r="189">
      <c r="A189" s="3"/>
      <c r="B189" s="3"/>
      <c r="C189" s="3"/>
      <c r="D189" s="3"/>
      <c r="E189" s="4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4"/>
      <c r="R189" s="3"/>
      <c r="S189" s="3"/>
      <c r="T189" s="3"/>
      <c r="U189" s="3"/>
    </row>
    <row r="190">
      <c r="A190" s="3"/>
      <c r="B190" s="3"/>
      <c r="C190" s="3"/>
      <c r="D190" s="3"/>
      <c r="E190" s="4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4"/>
      <c r="R190" s="3"/>
      <c r="S190" s="3"/>
      <c r="T190" s="3"/>
      <c r="U190" s="3"/>
    </row>
    <row r="191">
      <c r="A191" s="3"/>
      <c r="B191" s="3"/>
      <c r="C191" s="3"/>
      <c r="D191" s="3"/>
      <c r="E191" s="4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4"/>
      <c r="R191" s="3"/>
      <c r="S191" s="3"/>
      <c r="T191" s="3"/>
      <c r="U191" s="3"/>
    </row>
    <row r="192">
      <c r="A192" s="3"/>
      <c r="B192" s="3"/>
      <c r="C192" s="3"/>
      <c r="D192" s="3"/>
      <c r="E192" s="4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3"/>
      <c r="S192" s="3"/>
      <c r="T192" s="3"/>
      <c r="U192" s="3"/>
    </row>
    <row r="193">
      <c r="A193" s="3"/>
      <c r="B193" s="3"/>
      <c r="C193" s="3"/>
      <c r="D193" s="3"/>
      <c r="E193" s="4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4"/>
      <c r="R193" s="3"/>
      <c r="S193" s="3"/>
      <c r="T193" s="3"/>
      <c r="U193" s="3"/>
    </row>
    <row r="194">
      <c r="A194" s="3"/>
      <c r="B194" s="3"/>
      <c r="C194" s="3"/>
      <c r="D194" s="3"/>
      <c r="E194" s="4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3"/>
      <c r="S194" s="3"/>
      <c r="T194" s="3"/>
      <c r="U194" s="3"/>
    </row>
    <row r="195">
      <c r="A195" s="3"/>
      <c r="B195" s="3"/>
      <c r="C195" s="3"/>
      <c r="D195" s="3"/>
      <c r="E195" s="4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4"/>
      <c r="R195" s="3"/>
      <c r="S195" s="3"/>
      <c r="T195" s="3"/>
      <c r="U195" s="3"/>
    </row>
    <row r="196">
      <c r="A196" s="3"/>
      <c r="B196" s="3"/>
      <c r="C196" s="3"/>
      <c r="D196" s="3"/>
      <c r="E196" s="4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3"/>
      <c r="S196" s="3"/>
      <c r="T196" s="3"/>
      <c r="U196" s="3"/>
    </row>
    <row r="197">
      <c r="A197" s="3"/>
      <c r="B197" s="3"/>
      <c r="C197" s="3"/>
      <c r="D197" s="3"/>
      <c r="E197" s="4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3"/>
      <c r="S197" s="3"/>
      <c r="T197" s="3"/>
      <c r="U197" s="3"/>
    </row>
    <row r="198">
      <c r="A198" s="3"/>
      <c r="B198" s="3"/>
      <c r="C198" s="3"/>
      <c r="D198" s="3"/>
      <c r="E198" s="4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4"/>
      <c r="R198" s="3"/>
      <c r="S198" s="3"/>
      <c r="T198" s="3"/>
      <c r="U198" s="3"/>
    </row>
    <row r="199">
      <c r="A199" s="3"/>
      <c r="B199" s="3"/>
      <c r="C199" s="3"/>
      <c r="D199" s="3"/>
      <c r="E199" s="4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4"/>
      <c r="R199" s="3"/>
      <c r="S199" s="3"/>
      <c r="T199" s="3"/>
      <c r="U199" s="3"/>
    </row>
    <row r="200">
      <c r="A200" s="3"/>
      <c r="B200" s="3"/>
      <c r="C200" s="3"/>
      <c r="D200" s="3"/>
      <c r="E200" s="4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4"/>
      <c r="R200" s="3"/>
      <c r="S200" s="3"/>
      <c r="T200" s="3"/>
      <c r="U200" s="3"/>
    </row>
    <row r="201">
      <c r="A201" s="3"/>
      <c r="B201" s="3"/>
      <c r="C201" s="3"/>
      <c r="D201" s="3"/>
      <c r="E201" s="4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4"/>
      <c r="R201" s="3"/>
      <c r="S201" s="3"/>
      <c r="T201" s="3"/>
      <c r="U201" s="3"/>
    </row>
    <row r="202">
      <c r="A202" s="3"/>
      <c r="B202" s="3"/>
      <c r="C202" s="3"/>
      <c r="D202" s="3"/>
      <c r="E202" s="4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4"/>
      <c r="R202" s="3"/>
      <c r="S202" s="3"/>
      <c r="T202" s="3"/>
      <c r="U202" s="3"/>
    </row>
    <row r="203">
      <c r="A203" s="3"/>
      <c r="B203" s="3"/>
      <c r="C203" s="3"/>
      <c r="D203" s="3"/>
      <c r="E203" s="4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4"/>
      <c r="R203" s="3"/>
      <c r="S203" s="3"/>
      <c r="T203" s="3"/>
      <c r="U203" s="3"/>
    </row>
    <row r="204">
      <c r="A204" s="3"/>
      <c r="B204" s="3"/>
      <c r="C204" s="3"/>
      <c r="D204" s="3"/>
      <c r="E204" s="4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4"/>
      <c r="R204" s="3"/>
      <c r="S204" s="3"/>
      <c r="T204" s="3"/>
      <c r="U204" s="3"/>
    </row>
    <row r="205">
      <c r="A205" s="3"/>
      <c r="B205" s="3"/>
      <c r="C205" s="3"/>
      <c r="D205" s="3"/>
      <c r="E205" s="4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4"/>
      <c r="R205" s="3"/>
      <c r="S205" s="3"/>
      <c r="T205" s="3"/>
      <c r="U205" s="3"/>
    </row>
    <row r="206">
      <c r="A206" s="3"/>
      <c r="B206" s="3"/>
      <c r="C206" s="3"/>
      <c r="D206" s="3"/>
      <c r="E206" s="4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4"/>
      <c r="R206" s="3"/>
      <c r="S206" s="3"/>
      <c r="T206" s="3"/>
      <c r="U206" s="3"/>
    </row>
    <row r="207">
      <c r="A207" s="3"/>
      <c r="B207" s="3"/>
      <c r="C207" s="3"/>
      <c r="D207" s="3"/>
      <c r="E207" s="4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4"/>
      <c r="R207" s="3"/>
      <c r="S207" s="3"/>
      <c r="T207" s="3"/>
      <c r="U207" s="3"/>
    </row>
    <row r="208">
      <c r="A208" s="3"/>
      <c r="B208" s="3"/>
      <c r="C208" s="3"/>
      <c r="D208" s="3"/>
      <c r="E208" s="4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4"/>
      <c r="R208" s="3"/>
      <c r="S208" s="3"/>
      <c r="T208" s="3"/>
      <c r="U208" s="3"/>
    </row>
    <row r="209">
      <c r="A209" s="3"/>
      <c r="B209" s="3"/>
      <c r="C209" s="3"/>
      <c r="D209" s="3"/>
      <c r="E209" s="4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4"/>
      <c r="R209" s="3"/>
      <c r="S209" s="3"/>
      <c r="T209" s="3"/>
      <c r="U209" s="3"/>
    </row>
    <row r="210">
      <c r="A210" s="3"/>
      <c r="B210" s="3"/>
      <c r="C210" s="3"/>
      <c r="D210" s="3"/>
      <c r="E210" s="4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4"/>
      <c r="R210" s="3"/>
      <c r="S210" s="3"/>
      <c r="T210" s="3"/>
      <c r="U210" s="3"/>
    </row>
    <row r="211">
      <c r="A211" s="3"/>
      <c r="B211" s="3"/>
      <c r="C211" s="3"/>
      <c r="D211" s="3"/>
      <c r="E211" s="4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4"/>
      <c r="R211" s="3"/>
      <c r="S211" s="3"/>
      <c r="T211" s="3"/>
      <c r="U211" s="3"/>
    </row>
    <row r="212">
      <c r="A212" s="3"/>
      <c r="B212" s="3"/>
      <c r="C212" s="3"/>
      <c r="D212" s="3"/>
      <c r="E212" s="4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4"/>
      <c r="R212" s="3"/>
      <c r="S212" s="3"/>
      <c r="T212" s="3"/>
      <c r="U212" s="3"/>
    </row>
    <row r="213">
      <c r="A213" s="3"/>
      <c r="B213" s="3"/>
      <c r="C213" s="3"/>
      <c r="D213" s="3"/>
      <c r="E213" s="4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4"/>
      <c r="R213" s="3"/>
      <c r="S213" s="3"/>
      <c r="T213" s="3"/>
      <c r="U213" s="3"/>
    </row>
    <row r="214">
      <c r="A214" s="3"/>
      <c r="B214" s="3"/>
      <c r="C214" s="3"/>
      <c r="D214" s="3"/>
      <c r="E214" s="4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4"/>
      <c r="R214" s="3"/>
      <c r="S214" s="3"/>
      <c r="T214" s="3"/>
      <c r="U214" s="3"/>
    </row>
    <row r="215">
      <c r="A215" s="3"/>
      <c r="B215" s="3"/>
      <c r="C215" s="3"/>
      <c r="D215" s="3"/>
      <c r="E215" s="4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4"/>
      <c r="R215" s="3"/>
      <c r="S215" s="3"/>
      <c r="T215" s="3"/>
      <c r="U215" s="3"/>
    </row>
    <row r="216">
      <c r="A216" s="3"/>
      <c r="B216" s="3"/>
      <c r="C216" s="3"/>
      <c r="D216" s="3"/>
      <c r="E216" s="4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4"/>
      <c r="R216" s="3"/>
      <c r="S216" s="3"/>
      <c r="T216" s="3"/>
      <c r="U216" s="3"/>
    </row>
    <row r="217">
      <c r="A217" s="3"/>
      <c r="B217" s="3"/>
      <c r="C217" s="3"/>
      <c r="D217" s="3"/>
      <c r="E217" s="4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4"/>
      <c r="R217" s="3"/>
      <c r="S217" s="3"/>
      <c r="T217" s="3"/>
      <c r="U217" s="3"/>
    </row>
    <row r="218">
      <c r="A218" s="3"/>
      <c r="B218" s="3"/>
      <c r="C218" s="3"/>
      <c r="D218" s="3"/>
      <c r="E218" s="4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4"/>
      <c r="R218" s="3"/>
      <c r="S218" s="3"/>
      <c r="T218" s="3"/>
      <c r="U218" s="3"/>
    </row>
    <row r="219">
      <c r="A219" s="3"/>
      <c r="B219" s="3"/>
      <c r="C219" s="3"/>
      <c r="D219" s="3"/>
      <c r="E219" s="4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4"/>
      <c r="R219" s="3"/>
      <c r="S219" s="3"/>
      <c r="T219" s="3"/>
      <c r="U219" s="3"/>
    </row>
    <row r="220">
      <c r="A220" s="3"/>
      <c r="B220" s="3"/>
      <c r="C220" s="3"/>
      <c r="D220" s="3"/>
      <c r="E220" s="4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4"/>
      <c r="R220" s="3"/>
      <c r="S220" s="3"/>
      <c r="T220" s="3"/>
      <c r="U220" s="3"/>
    </row>
    <row r="221">
      <c r="A221" s="3"/>
      <c r="B221" s="3"/>
      <c r="C221" s="3"/>
      <c r="D221" s="3"/>
      <c r="E221" s="4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4"/>
      <c r="R221" s="3"/>
      <c r="S221" s="3"/>
      <c r="T221" s="3"/>
      <c r="U221" s="3"/>
    </row>
    <row r="222">
      <c r="A222" s="3"/>
      <c r="B222" s="3"/>
      <c r="C222" s="3"/>
      <c r="D222" s="3"/>
      <c r="E222" s="4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4"/>
      <c r="R222" s="3"/>
      <c r="S222" s="3"/>
      <c r="T222" s="3"/>
      <c r="U222" s="3"/>
    </row>
    <row r="223">
      <c r="A223" s="3"/>
      <c r="B223" s="3"/>
      <c r="C223" s="3"/>
      <c r="D223" s="3"/>
      <c r="E223" s="4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4"/>
      <c r="R223" s="3"/>
      <c r="S223" s="3"/>
      <c r="T223" s="3"/>
      <c r="U223" s="3"/>
    </row>
    <row r="224">
      <c r="A224" s="3"/>
      <c r="B224" s="3"/>
      <c r="C224" s="3"/>
      <c r="D224" s="3"/>
      <c r="E224" s="4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4"/>
      <c r="R224" s="3"/>
      <c r="S224" s="3"/>
      <c r="T224" s="3"/>
      <c r="U224" s="3"/>
    </row>
    <row r="225">
      <c r="A225" s="3"/>
      <c r="B225" s="3"/>
      <c r="C225" s="3"/>
      <c r="D225" s="3"/>
      <c r="E225" s="4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4"/>
      <c r="R225" s="3"/>
      <c r="S225" s="3"/>
      <c r="T225" s="3"/>
      <c r="U225" s="3"/>
    </row>
    <row r="226">
      <c r="A226" s="3"/>
      <c r="B226" s="3"/>
      <c r="C226" s="3"/>
      <c r="D226" s="3"/>
      <c r="E226" s="4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4"/>
      <c r="R226" s="3"/>
      <c r="S226" s="3"/>
      <c r="T226" s="3"/>
      <c r="U226" s="3"/>
    </row>
    <row r="227">
      <c r="A227" s="3"/>
      <c r="B227" s="3"/>
      <c r="C227" s="3"/>
      <c r="D227" s="3"/>
      <c r="E227" s="4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4"/>
      <c r="R227" s="3"/>
      <c r="S227" s="3"/>
      <c r="T227" s="3"/>
      <c r="U227" s="3"/>
    </row>
    <row r="228">
      <c r="A228" s="3"/>
      <c r="B228" s="3"/>
      <c r="C228" s="3"/>
      <c r="D228" s="3"/>
      <c r="E228" s="4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4"/>
      <c r="R228" s="3"/>
      <c r="S228" s="3"/>
      <c r="T228" s="3"/>
      <c r="U228" s="3"/>
    </row>
    <row r="229">
      <c r="A229" s="3"/>
      <c r="B229" s="3"/>
      <c r="C229" s="3"/>
      <c r="D229" s="3"/>
      <c r="E229" s="4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4"/>
      <c r="R229" s="3"/>
      <c r="S229" s="3"/>
      <c r="T229" s="3"/>
      <c r="U229" s="3"/>
    </row>
    <row r="230">
      <c r="A230" s="3"/>
      <c r="B230" s="3"/>
      <c r="C230" s="3"/>
      <c r="D230" s="3"/>
      <c r="E230" s="4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4"/>
      <c r="R230" s="3"/>
      <c r="S230" s="3"/>
      <c r="T230" s="3"/>
      <c r="U230" s="3"/>
    </row>
    <row r="231">
      <c r="A231" s="3"/>
      <c r="B231" s="3"/>
      <c r="C231" s="3"/>
      <c r="D231" s="3"/>
      <c r="E231" s="4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4"/>
      <c r="R231" s="3"/>
      <c r="S231" s="3"/>
      <c r="T231" s="3"/>
      <c r="U231" s="3"/>
    </row>
    <row r="232">
      <c r="A232" s="3"/>
      <c r="B232" s="3"/>
      <c r="C232" s="3"/>
      <c r="D232" s="3"/>
      <c r="E232" s="4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4"/>
      <c r="R232" s="3"/>
      <c r="S232" s="3"/>
      <c r="T232" s="3"/>
      <c r="U232" s="3"/>
    </row>
    <row r="233">
      <c r="A233" s="3"/>
      <c r="B233" s="3"/>
      <c r="C233" s="3"/>
      <c r="D233" s="3"/>
      <c r="E233" s="4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4"/>
      <c r="R233" s="3"/>
      <c r="S233" s="3"/>
      <c r="T233" s="3"/>
      <c r="U233" s="3"/>
    </row>
    <row r="234">
      <c r="A234" s="3"/>
      <c r="B234" s="3"/>
      <c r="C234" s="3"/>
      <c r="D234" s="3"/>
      <c r="E234" s="4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4"/>
      <c r="R234" s="3"/>
      <c r="S234" s="3"/>
      <c r="T234" s="3"/>
      <c r="U234" s="3"/>
    </row>
    <row r="235">
      <c r="A235" s="3"/>
      <c r="B235" s="3"/>
      <c r="C235" s="3"/>
      <c r="D235" s="3"/>
      <c r="E235" s="4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4"/>
      <c r="R235" s="3"/>
      <c r="S235" s="3"/>
      <c r="T235" s="3"/>
      <c r="U235" s="3"/>
    </row>
    <row r="236">
      <c r="A236" s="3"/>
      <c r="B236" s="3"/>
      <c r="C236" s="3"/>
      <c r="D236" s="3"/>
      <c r="E236" s="4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4"/>
      <c r="R236" s="3"/>
      <c r="S236" s="3"/>
      <c r="T236" s="3"/>
      <c r="U236" s="3"/>
    </row>
    <row r="237">
      <c r="A237" s="3"/>
      <c r="B237" s="3"/>
      <c r="C237" s="3"/>
      <c r="D237" s="3"/>
      <c r="E237" s="4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4"/>
      <c r="R237" s="3"/>
      <c r="S237" s="3"/>
      <c r="T237" s="3"/>
      <c r="U237" s="3"/>
    </row>
    <row r="238">
      <c r="A238" s="3"/>
      <c r="B238" s="3"/>
      <c r="C238" s="3"/>
      <c r="D238" s="3"/>
      <c r="E238" s="4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4"/>
      <c r="R238" s="3"/>
      <c r="S238" s="3"/>
      <c r="T238" s="3"/>
      <c r="U238" s="3"/>
    </row>
    <row r="239">
      <c r="A239" s="3"/>
      <c r="B239" s="3"/>
      <c r="C239" s="3"/>
      <c r="D239" s="3"/>
      <c r="E239" s="4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4"/>
      <c r="R239" s="3"/>
      <c r="S239" s="3"/>
      <c r="T239" s="3"/>
      <c r="U239" s="3"/>
    </row>
    <row r="240">
      <c r="A240" s="3"/>
      <c r="B240" s="3"/>
      <c r="C240" s="3"/>
      <c r="D240" s="3"/>
      <c r="E240" s="4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4"/>
      <c r="R240" s="3"/>
      <c r="S240" s="3"/>
      <c r="T240" s="3"/>
      <c r="U240" s="3"/>
    </row>
    <row r="241">
      <c r="A241" s="3"/>
      <c r="B241" s="3"/>
      <c r="C241" s="3"/>
      <c r="D241" s="3"/>
      <c r="E241" s="4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4"/>
      <c r="R241" s="3"/>
      <c r="S241" s="3"/>
      <c r="T241" s="3"/>
      <c r="U241" s="3"/>
    </row>
    <row r="242">
      <c r="A242" s="3"/>
      <c r="B242" s="3"/>
      <c r="C242" s="3"/>
      <c r="D242" s="3"/>
      <c r="E242" s="4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4"/>
      <c r="R242" s="3"/>
      <c r="S242" s="3"/>
      <c r="T242" s="3"/>
      <c r="U242" s="3"/>
    </row>
    <row r="243">
      <c r="A243" s="3"/>
      <c r="B243" s="3"/>
      <c r="C243" s="3"/>
      <c r="D243" s="3"/>
      <c r="E243" s="4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4"/>
      <c r="R243" s="3"/>
      <c r="S243" s="3"/>
      <c r="T243" s="3"/>
      <c r="U243" s="3"/>
    </row>
    <row r="244">
      <c r="A244" s="3"/>
      <c r="B244" s="3"/>
      <c r="C244" s="3"/>
      <c r="D244" s="3"/>
      <c r="E244" s="4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4"/>
      <c r="R244" s="3"/>
      <c r="S244" s="3"/>
      <c r="T244" s="3"/>
      <c r="U244" s="3"/>
    </row>
    <row r="245">
      <c r="A245" s="3"/>
      <c r="B245" s="3"/>
      <c r="C245" s="3"/>
      <c r="D245" s="3"/>
      <c r="E245" s="4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4"/>
      <c r="R245" s="3"/>
      <c r="S245" s="3"/>
      <c r="T245" s="3"/>
      <c r="U245" s="3"/>
    </row>
    <row r="246">
      <c r="A246" s="3"/>
      <c r="B246" s="3"/>
      <c r="C246" s="3"/>
      <c r="D246" s="3"/>
      <c r="E246" s="4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4"/>
      <c r="R246" s="3"/>
      <c r="S246" s="3"/>
      <c r="T246" s="3"/>
      <c r="U246" s="3"/>
    </row>
    <row r="247">
      <c r="A247" s="3"/>
      <c r="B247" s="3"/>
      <c r="C247" s="3"/>
      <c r="D247" s="3"/>
      <c r="E247" s="4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4"/>
      <c r="R247" s="3"/>
      <c r="S247" s="3"/>
      <c r="T247" s="3"/>
      <c r="U247" s="3"/>
    </row>
    <row r="248">
      <c r="A248" s="3"/>
      <c r="B248" s="3"/>
      <c r="C248" s="3"/>
      <c r="D248" s="3"/>
      <c r="E248" s="4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4"/>
      <c r="R248" s="3"/>
      <c r="S248" s="3"/>
      <c r="T248" s="3"/>
      <c r="U248" s="3"/>
    </row>
    <row r="249">
      <c r="A249" s="3"/>
      <c r="B249" s="3"/>
      <c r="C249" s="3"/>
      <c r="D249" s="3"/>
      <c r="E249" s="4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4"/>
      <c r="R249" s="3"/>
      <c r="S249" s="3"/>
      <c r="T249" s="3"/>
      <c r="U249" s="3"/>
    </row>
    <row r="250">
      <c r="A250" s="3"/>
      <c r="B250" s="3"/>
      <c r="C250" s="3"/>
      <c r="D250" s="3"/>
      <c r="E250" s="4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4"/>
      <c r="R250" s="3"/>
      <c r="S250" s="3"/>
      <c r="T250" s="3"/>
      <c r="U250" s="3"/>
    </row>
    <row r="251">
      <c r="A251" s="3"/>
      <c r="B251" s="3"/>
      <c r="C251" s="3"/>
      <c r="D251" s="3"/>
      <c r="E251" s="4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4"/>
      <c r="R251" s="3"/>
      <c r="S251" s="3"/>
      <c r="T251" s="3"/>
      <c r="U251" s="3"/>
    </row>
    <row r="252">
      <c r="A252" s="3"/>
      <c r="B252" s="3"/>
      <c r="C252" s="3"/>
      <c r="D252" s="3"/>
      <c r="E252" s="4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4"/>
      <c r="R252" s="3"/>
      <c r="S252" s="3"/>
      <c r="T252" s="3"/>
      <c r="U252" s="3"/>
    </row>
    <row r="253">
      <c r="A253" s="3"/>
      <c r="B253" s="3"/>
      <c r="C253" s="3"/>
      <c r="D253" s="3"/>
      <c r="E253" s="4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4"/>
      <c r="R253" s="3"/>
      <c r="S253" s="3"/>
      <c r="T253" s="3"/>
      <c r="U253" s="3"/>
    </row>
    <row r="254">
      <c r="A254" s="3"/>
      <c r="B254" s="3"/>
      <c r="C254" s="3"/>
      <c r="D254" s="3"/>
      <c r="E254" s="4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4"/>
      <c r="R254" s="3"/>
      <c r="S254" s="3"/>
      <c r="T254" s="3"/>
      <c r="U254" s="3"/>
    </row>
    <row r="255">
      <c r="A255" s="3"/>
      <c r="B255" s="3"/>
      <c r="C255" s="3"/>
      <c r="D255" s="3"/>
      <c r="E255" s="4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4"/>
      <c r="R255" s="3"/>
      <c r="S255" s="3"/>
      <c r="T255" s="3"/>
      <c r="U255" s="3"/>
    </row>
    <row r="256">
      <c r="A256" s="3"/>
      <c r="B256" s="3"/>
      <c r="C256" s="3"/>
      <c r="D256" s="3"/>
      <c r="E256" s="4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4"/>
      <c r="R256" s="3"/>
      <c r="S256" s="3"/>
      <c r="T256" s="3"/>
      <c r="U256" s="3"/>
    </row>
    <row r="257">
      <c r="A257" s="3"/>
      <c r="B257" s="3"/>
      <c r="C257" s="3"/>
      <c r="D257" s="3"/>
      <c r="E257" s="4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4"/>
      <c r="R257" s="3"/>
      <c r="S257" s="3"/>
      <c r="T257" s="3"/>
      <c r="U257" s="3"/>
    </row>
    <row r="258">
      <c r="A258" s="3"/>
      <c r="B258" s="3"/>
      <c r="C258" s="3"/>
      <c r="D258" s="3"/>
      <c r="E258" s="4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4"/>
      <c r="R258" s="3"/>
      <c r="S258" s="3"/>
      <c r="T258" s="3"/>
      <c r="U258" s="3"/>
    </row>
    <row r="259">
      <c r="A259" s="3"/>
      <c r="B259" s="3"/>
      <c r="C259" s="3"/>
      <c r="D259" s="3"/>
      <c r="E259" s="4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4"/>
      <c r="R259" s="3"/>
      <c r="S259" s="3"/>
      <c r="T259" s="3"/>
      <c r="U259" s="3"/>
    </row>
    <row r="260">
      <c r="A260" s="3"/>
      <c r="B260" s="3"/>
      <c r="C260" s="3"/>
      <c r="D260" s="3"/>
      <c r="E260" s="4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4"/>
      <c r="R260" s="3"/>
      <c r="S260" s="3"/>
      <c r="T260" s="3"/>
      <c r="U260" s="3"/>
    </row>
    <row r="261">
      <c r="A261" s="3"/>
      <c r="B261" s="3"/>
      <c r="C261" s="3"/>
      <c r="D261" s="3"/>
      <c r="E261" s="4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4"/>
      <c r="R261" s="3"/>
      <c r="S261" s="3"/>
      <c r="T261" s="3"/>
      <c r="U261" s="3"/>
    </row>
    <row r="262">
      <c r="A262" s="3"/>
      <c r="B262" s="3"/>
      <c r="C262" s="3"/>
      <c r="D262" s="3"/>
      <c r="E262" s="4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4"/>
      <c r="R262" s="3"/>
      <c r="S262" s="3"/>
      <c r="T262" s="3"/>
      <c r="U262" s="3"/>
    </row>
    <row r="263">
      <c r="A263" s="3"/>
      <c r="B263" s="3"/>
      <c r="C263" s="3"/>
      <c r="D263" s="3"/>
      <c r="E263" s="4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4"/>
      <c r="R263" s="3"/>
      <c r="S263" s="3"/>
      <c r="T263" s="3"/>
      <c r="U263" s="3"/>
    </row>
    <row r="264">
      <c r="A264" s="3"/>
      <c r="B264" s="3"/>
      <c r="C264" s="3"/>
      <c r="D264" s="3"/>
      <c r="E264" s="4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4"/>
      <c r="R264" s="3"/>
      <c r="S264" s="3"/>
      <c r="T264" s="3"/>
      <c r="U264" s="3"/>
    </row>
    <row r="265">
      <c r="A265" s="3"/>
      <c r="B265" s="3"/>
      <c r="C265" s="3"/>
      <c r="D265" s="3"/>
      <c r="E265" s="4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4"/>
      <c r="R265" s="3"/>
      <c r="S265" s="3"/>
      <c r="T265" s="3"/>
      <c r="U265" s="3"/>
    </row>
    <row r="266">
      <c r="A266" s="3"/>
      <c r="B266" s="3"/>
      <c r="C266" s="3"/>
      <c r="D266" s="3"/>
      <c r="E266" s="4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4"/>
      <c r="R266" s="3"/>
      <c r="S266" s="3"/>
      <c r="T266" s="3"/>
      <c r="U266" s="3"/>
    </row>
    <row r="267">
      <c r="A267" s="3"/>
      <c r="B267" s="3"/>
      <c r="C267" s="3"/>
      <c r="D267" s="3"/>
      <c r="E267" s="4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4"/>
      <c r="R267" s="3"/>
      <c r="S267" s="3"/>
      <c r="T267" s="3"/>
      <c r="U267" s="3"/>
    </row>
    <row r="268">
      <c r="A268" s="3"/>
      <c r="B268" s="3"/>
      <c r="C268" s="3"/>
      <c r="D268" s="3"/>
      <c r="E268" s="4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4"/>
      <c r="R268" s="3"/>
      <c r="S268" s="3"/>
      <c r="T268" s="3"/>
      <c r="U268" s="3"/>
    </row>
    <row r="269">
      <c r="A269" s="3"/>
      <c r="B269" s="3"/>
      <c r="C269" s="3"/>
      <c r="D269" s="3"/>
      <c r="E269" s="4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4"/>
      <c r="R269" s="3"/>
      <c r="S269" s="3"/>
      <c r="T269" s="3"/>
      <c r="U269" s="3"/>
    </row>
    <row r="270">
      <c r="A270" s="3"/>
      <c r="B270" s="3"/>
      <c r="C270" s="3"/>
      <c r="D270" s="3"/>
      <c r="E270" s="4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4"/>
      <c r="R270" s="3"/>
      <c r="S270" s="3"/>
      <c r="T270" s="3"/>
      <c r="U270" s="3"/>
    </row>
    <row r="271">
      <c r="A271" s="3"/>
      <c r="B271" s="3"/>
      <c r="C271" s="3"/>
      <c r="D271" s="3"/>
      <c r="E271" s="4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4"/>
      <c r="R271" s="3"/>
      <c r="S271" s="3"/>
      <c r="T271" s="3"/>
      <c r="U271" s="3"/>
    </row>
    <row r="272">
      <c r="A272" s="3"/>
      <c r="B272" s="3"/>
      <c r="C272" s="3"/>
      <c r="D272" s="3"/>
      <c r="E272" s="4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4"/>
      <c r="R272" s="3"/>
      <c r="S272" s="3"/>
      <c r="T272" s="3"/>
      <c r="U272" s="3"/>
    </row>
    <row r="273">
      <c r="A273" s="3"/>
      <c r="B273" s="3"/>
      <c r="C273" s="3"/>
      <c r="D273" s="3"/>
      <c r="E273" s="4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4"/>
      <c r="R273" s="3"/>
      <c r="S273" s="3"/>
      <c r="T273" s="3"/>
      <c r="U273" s="3"/>
    </row>
    <row r="274">
      <c r="A274" s="3"/>
      <c r="B274" s="3"/>
      <c r="C274" s="3"/>
      <c r="D274" s="3"/>
      <c r="E274" s="4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4"/>
      <c r="R274" s="3"/>
      <c r="S274" s="3"/>
      <c r="T274" s="3"/>
      <c r="U274" s="3"/>
    </row>
    <row r="275">
      <c r="A275" s="3"/>
      <c r="B275" s="3"/>
      <c r="C275" s="3"/>
      <c r="D275" s="3"/>
      <c r="E275" s="4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4"/>
      <c r="R275" s="3"/>
      <c r="S275" s="3"/>
      <c r="T275" s="3"/>
      <c r="U275" s="3"/>
    </row>
    <row r="276">
      <c r="A276" s="3"/>
      <c r="B276" s="3"/>
      <c r="C276" s="3"/>
      <c r="D276" s="3"/>
      <c r="E276" s="4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4"/>
      <c r="R276" s="3"/>
      <c r="S276" s="3"/>
      <c r="T276" s="3"/>
      <c r="U276" s="3"/>
    </row>
    <row r="277">
      <c r="A277" s="3"/>
      <c r="B277" s="3"/>
      <c r="C277" s="3"/>
      <c r="D277" s="3"/>
      <c r="E277" s="4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4"/>
      <c r="R277" s="3"/>
      <c r="S277" s="3"/>
      <c r="T277" s="3"/>
      <c r="U277" s="3"/>
    </row>
    <row r="278">
      <c r="A278" s="3"/>
      <c r="B278" s="3"/>
      <c r="C278" s="3"/>
      <c r="D278" s="3"/>
      <c r="E278" s="4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4"/>
      <c r="R278" s="3"/>
      <c r="S278" s="3"/>
      <c r="T278" s="3"/>
      <c r="U278" s="3"/>
    </row>
    <row r="279">
      <c r="A279" s="3"/>
      <c r="B279" s="3"/>
      <c r="C279" s="3"/>
      <c r="D279" s="3"/>
      <c r="E279" s="4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4"/>
      <c r="R279" s="3"/>
      <c r="S279" s="3"/>
      <c r="T279" s="3"/>
      <c r="U279" s="3"/>
    </row>
    <row r="280">
      <c r="A280" s="3"/>
      <c r="B280" s="3"/>
      <c r="C280" s="3"/>
      <c r="D280" s="3"/>
      <c r="E280" s="4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4"/>
      <c r="R280" s="3"/>
      <c r="S280" s="3"/>
      <c r="T280" s="3"/>
      <c r="U280" s="3"/>
    </row>
    <row r="281">
      <c r="A281" s="3"/>
      <c r="B281" s="3"/>
      <c r="C281" s="3"/>
      <c r="D281" s="3"/>
      <c r="E281" s="4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4"/>
      <c r="R281" s="3"/>
      <c r="S281" s="3"/>
      <c r="T281" s="3"/>
      <c r="U281" s="3"/>
    </row>
    <row r="282">
      <c r="A282" s="3"/>
      <c r="B282" s="3"/>
      <c r="C282" s="3"/>
      <c r="D282" s="3"/>
      <c r="E282" s="4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4"/>
      <c r="R282" s="3"/>
      <c r="S282" s="3"/>
      <c r="T282" s="3"/>
      <c r="U282" s="3"/>
    </row>
    <row r="283">
      <c r="A283" s="3"/>
      <c r="B283" s="3"/>
      <c r="C283" s="3"/>
      <c r="D283" s="3"/>
      <c r="E283" s="4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4"/>
      <c r="R283" s="3"/>
      <c r="S283" s="3"/>
      <c r="T283" s="3"/>
      <c r="U283" s="3"/>
    </row>
    <row r="284">
      <c r="A284" s="3"/>
      <c r="B284" s="3"/>
      <c r="C284" s="3"/>
      <c r="D284" s="3"/>
      <c r="E284" s="4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4"/>
      <c r="R284" s="3"/>
      <c r="S284" s="3"/>
      <c r="T284" s="3"/>
      <c r="U284" s="3"/>
    </row>
    <row r="285">
      <c r="A285" s="3"/>
      <c r="B285" s="3"/>
      <c r="C285" s="3"/>
      <c r="D285" s="3"/>
      <c r="E285" s="4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4"/>
      <c r="R285" s="3"/>
      <c r="S285" s="3"/>
      <c r="T285" s="3"/>
      <c r="U285" s="3"/>
    </row>
    <row r="286">
      <c r="A286" s="3"/>
      <c r="B286" s="3"/>
      <c r="C286" s="3"/>
      <c r="D286" s="3"/>
      <c r="E286" s="4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4"/>
      <c r="R286" s="3"/>
      <c r="S286" s="3"/>
      <c r="T286" s="3"/>
      <c r="U286" s="3"/>
    </row>
    <row r="287">
      <c r="A287" s="3"/>
      <c r="B287" s="3"/>
      <c r="C287" s="3"/>
      <c r="D287" s="3"/>
      <c r="E287" s="4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4"/>
      <c r="R287" s="3"/>
      <c r="S287" s="3"/>
      <c r="T287" s="3"/>
      <c r="U287" s="3"/>
    </row>
    <row r="288">
      <c r="A288" s="3"/>
      <c r="B288" s="3"/>
      <c r="C288" s="3"/>
      <c r="D288" s="3"/>
      <c r="E288" s="4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4"/>
      <c r="R288" s="3"/>
      <c r="S288" s="3"/>
      <c r="T288" s="3"/>
      <c r="U288" s="3"/>
    </row>
    <row r="289">
      <c r="A289" s="3"/>
      <c r="B289" s="3"/>
      <c r="C289" s="3"/>
      <c r="D289" s="3"/>
      <c r="E289" s="4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4"/>
      <c r="R289" s="3"/>
      <c r="S289" s="3"/>
      <c r="T289" s="3"/>
      <c r="U289" s="3"/>
    </row>
    <row r="290">
      <c r="A290" s="3"/>
      <c r="B290" s="3"/>
      <c r="C290" s="3"/>
      <c r="D290" s="3"/>
      <c r="E290" s="4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4"/>
      <c r="R290" s="3"/>
      <c r="S290" s="3"/>
      <c r="T290" s="3"/>
      <c r="U290" s="3"/>
    </row>
    <row r="291">
      <c r="A291" s="3"/>
      <c r="B291" s="3"/>
      <c r="C291" s="3"/>
      <c r="D291" s="3"/>
      <c r="E291" s="4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4"/>
      <c r="R291" s="3"/>
      <c r="S291" s="3"/>
      <c r="T291" s="3"/>
      <c r="U291" s="3"/>
    </row>
    <row r="292">
      <c r="A292" s="3"/>
      <c r="B292" s="3"/>
      <c r="C292" s="3"/>
      <c r="D292" s="3"/>
      <c r="E292" s="4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4"/>
      <c r="R292" s="3"/>
      <c r="S292" s="3"/>
      <c r="T292" s="3"/>
      <c r="U292" s="3"/>
    </row>
    <row r="293">
      <c r="A293" s="3"/>
      <c r="B293" s="3"/>
      <c r="C293" s="3"/>
      <c r="D293" s="3"/>
      <c r="E293" s="4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4"/>
      <c r="R293" s="3"/>
      <c r="S293" s="3"/>
      <c r="T293" s="3"/>
      <c r="U293" s="3"/>
    </row>
    <row r="294">
      <c r="A294" s="3"/>
      <c r="B294" s="3"/>
      <c r="C294" s="3"/>
      <c r="D294" s="3"/>
      <c r="E294" s="4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4"/>
      <c r="R294" s="3"/>
      <c r="S294" s="3"/>
      <c r="T294" s="3"/>
      <c r="U294" s="3"/>
    </row>
    <row r="295">
      <c r="A295" s="3"/>
      <c r="B295" s="3"/>
      <c r="C295" s="3"/>
      <c r="D295" s="3"/>
      <c r="E295" s="4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4"/>
      <c r="R295" s="3"/>
      <c r="S295" s="3"/>
      <c r="T295" s="3"/>
      <c r="U295" s="3"/>
    </row>
    <row r="296">
      <c r="A296" s="3"/>
      <c r="B296" s="3"/>
      <c r="C296" s="3"/>
      <c r="D296" s="3"/>
      <c r="E296" s="4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4"/>
      <c r="R296" s="3"/>
      <c r="S296" s="3"/>
      <c r="T296" s="3"/>
      <c r="U296" s="3"/>
    </row>
    <row r="297">
      <c r="A297" s="3"/>
      <c r="B297" s="3"/>
      <c r="C297" s="3"/>
      <c r="D297" s="3"/>
      <c r="E297" s="4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4"/>
      <c r="R297" s="3"/>
      <c r="S297" s="3"/>
      <c r="T297" s="3"/>
      <c r="U297" s="3"/>
    </row>
    <row r="298">
      <c r="A298" s="3"/>
      <c r="B298" s="3"/>
      <c r="C298" s="3"/>
      <c r="D298" s="3"/>
      <c r="E298" s="4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4"/>
      <c r="R298" s="3"/>
      <c r="S298" s="3"/>
      <c r="T298" s="3"/>
      <c r="U298" s="3"/>
    </row>
    <row r="299">
      <c r="A299" s="3"/>
      <c r="B299" s="3"/>
      <c r="C299" s="3"/>
      <c r="D299" s="3"/>
      <c r="E299" s="4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4"/>
      <c r="R299" s="3"/>
      <c r="S299" s="3"/>
      <c r="T299" s="3"/>
      <c r="U299" s="3"/>
    </row>
    <row r="300">
      <c r="A300" s="3"/>
      <c r="B300" s="3"/>
      <c r="C300" s="3"/>
      <c r="D300" s="3"/>
      <c r="E300" s="4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4"/>
      <c r="R300" s="3"/>
      <c r="S300" s="3"/>
      <c r="T300" s="3"/>
      <c r="U300" s="3"/>
    </row>
    <row r="301">
      <c r="A301" s="3"/>
      <c r="B301" s="3"/>
      <c r="C301" s="3"/>
      <c r="D301" s="3"/>
      <c r="E301" s="4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4"/>
      <c r="R301" s="3"/>
      <c r="S301" s="3"/>
      <c r="T301" s="3"/>
      <c r="U301" s="3"/>
    </row>
    <row r="302">
      <c r="A302" s="3"/>
      <c r="B302" s="3"/>
      <c r="C302" s="3"/>
      <c r="D302" s="3"/>
      <c r="E302" s="4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4"/>
      <c r="R302" s="3"/>
      <c r="S302" s="3"/>
      <c r="T302" s="3"/>
      <c r="U302" s="3"/>
    </row>
    <row r="303">
      <c r="A303" s="3"/>
      <c r="B303" s="3"/>
      <c r="C303" s="3"/>
      <c r="D303" s="3"/>
      <c r="E303" s="4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4"/>
      <c r="R303" s="3"/>
      <c r="S303" s="3"/>
      <c r="T303" s="3"/>
      <c r="U303" s="3"/>
    </row>
    <row r="304">
      <c r="A304" s="3"/>
      <c r="B304" s="3"/>
      <c r="C304" s="3"/>
      <c r="D304" s="3"/>
      <c r="E304" s="4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4"/>
      <c r="R304" s="3"/>
      <c r="S304" s="3"/>
      <c r="T304" s="3"/>
      <c r="U304" s="3"/>
    </row>
    <row r="305">
      <c r="A305" s="3"/>
      <c r="B305" s="3"/>
      <c r="C305" s="3"/>
      <c r="D305" s="3"/>
      <c r="E305" s="4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4"/>
      <c r="R305" s="3"/>
      <c r="S305" s="3"/>
      <c r="T305" s="3"/>
      <c r="U305" s="3"/>
    </row>
    <row r="306">
      <c r="A306" s="3"/>
      <c r="B306" s="3"/>
      <c r="C306" s="3"/>
      <c r="D306" s="3"/>
      <c r="E306" s="4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4"/>
      <c r="R306" s="3"/>
      <c r="S306" s="3"/>
      <c r="T306" s="3"/>
      <c r="U306" s="3"/>
    </row>
    <row r="307">
      <c r="A307" s="3"/>
      <c r="B307" s="3"/>
      <c r="C307" s="3"/>
      <c r="D307" s="3"/>
      <c r="E307" s="4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4"/>
      <c r="R307" s="3"/>
      <c r="S307" s="3"/>
      <c r="T307" s="3"/>
      <c r="U307" s="3"/>
    </row>
    <row r="308">
      <c r="A308" s="3"/>
      <c r="B308" s="3"/>
      <c r="C308" s="3"/>
      <c r="D308" s="3"/>
      <c r="E308" s="4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4"/>
      <c r="R308" s="3"/>
      <c r="S308" s="3"/>
      <c r="T308" s="3"/>
      <c r="U308" s="3"/>
    </row>
    <row r="309">
      <c r="A309" s="3"/>
      <c r="B309" s="3"/>
      <c r="C309" s="3"/>
      <c r="D309" s="3"/>
      <c r="E309" s="4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4"/>
      <c r="R309" s="3"/>
      <c r="S309" s="3"/>
      <c r="T309" s="3"/>
      <c r="U309" s="3"/>
    </row>
    <row r="310">
      <c r="A310" s="3"/>
      <c r="B310" s="3"/>
      <c r="C310" s="3"/>
      <c r="D310" s="3"/>
      <c r="E310" s="4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4"/>
      <c r="R310" s="3"/>
      <c r="S310" s="3"/>
      <c r="T310" s="3"/>
      <c r="U310" s="3"/>
    </row>
    <row r="311">
      <c r="A311" s="3"/>
      <c r="B311" s="3"/>
      <c r="C311" s="3"/>
      <c r="D311" s="3"/>
      <c r="E311" s="4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4"/>
      <c r="R311" s="3"/>
      <c r="S311" s="3"/>
      <c r="T311" s="3"/>
      <c r="U311" s="3"/>
    </row>
    <row r="312">
      <c r="A312" s="3"/>
      <c r="B312" s="3"/>
      <c r="C312" s="3"/>
      <c r="D312" s="3"/>
      <c r="E312" s="4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4"/>
      <c r="R312" s="3"/>
      <c r="S312" s="3"/>
      <c r="T312" s="3"/>
      <c r="U312" s="3"/>
    </row>
    <row r="313">
      <c r="A313" s="3"/>
      <c r="B313" s="3"/>
      <c r="C313" s="3"/>
      <c r="D313" s="3"/>
      <c r="E313" s="4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4"/>
      <c r="R313" s="3"/>
      <c r="S313" s="3"/>
      <c r="T313" s="3"/>
      <c r="U313" s="3"/>
    </row>
    <row r="314">
      <c r="A314" s="3"/>
      <c r="B314" s="3"/>
      <c r="C314" s="3"/>
      <c r="D314" s="3"/>
      <c r="E314" s="4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4"/>
      <c r="R314" s="3"/>
      <c r="S314" s="3"/>
      <c r="T314" s="3"/>
      <c r="U314" s="3"/>
    </row>
    <row r="315">
      <c r="A315" s="3"/>
      <c r="B315" s="3"/>
      <c r="C315" s="3"/>
      <c r="D315" s="3"/>
      <c r="E315" s="4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4"/>
      <c r="R315" s="3"/>
      <c r="S315" s="3"/>
      <c r="T315" s="3"/>
      <c r="U315" s="3"/>
    </row>
    <row r="316">
      <c r="A316" s="3"/>
      <c r="B316" s="3"/>
      <c r="C316" s="3"/>
      <c r="D316" s="3"/>
      <c r="E316" s="4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4"/>
      <c r="R316" s="3"/>
      <c r="S316" s="3"/>
      <c r="T316" s="3"/>
      <c r="U316" s="3"/>
    </row>
    <row r="317">
      <c r="A317" s="3"/>
      <c r="B317" s="3"/>
      <c r="C317" s="3"/>
      <c r="D317" s="3"/>
      <c r="E317" s="4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4"/>
      <c r="R317" s="3"/>
      <c r="S317" s="3"/>
      <c r="T317" s="3"/>
      <c r="U317" s="3"/>
    </row>
    <row r="318">
      <c r="A318" s="3"/>
      <c r="B318" s="3"/>
      <c r="C318" s="3"/>
      <c r="D318" s="3"/>
      <c r="E318" s="4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4"/>
      <c r="R318" s="3"/>
      <c r="S318" s="3"/>
      <c r="T318" s="3"/>
      <c r="U318" s="3"/>
    </row>
    <row r="319">
      <c r="A319" s="3"/>
      <c r="B319" s="3"/>
      <c r="C319" s="3"/>
      <c r="D319" s="3"/>
      <c r="E319" s="4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4"/>
      <c r="R319" s="3"/>
      <c r="S319" s="3"/>
      <c r="T319" s="3"/>
      <c r="U319" s="3"/>
    </row>
    <row r="320">
      <c r="A320" s="3"/>
      <c r="B320" s="3"/>
      <c r="C320" s="3"/>
      <c r="D320" s="3"/>
      <c r="E320" s="4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4"/>
      <c r="R320" s="3"/>
      <c r="S320" s="3"/>
      <c r="T320" s="3"/>
      <c r="U320" s="3"/>
    </row>
    <row r="321">
      <c r="A321" s="3"/>
      <c r="B321" s="3"/>
      <c r="C321" s="3"/>
      <c r="D321" s="3"/>
      <c r="E321" s="4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4"/>
      <c r="R321" s="3"/>
      <c r="S321" s="3"/>
      <c r="T321" s="3"/>
      <c r="U321" s="3"/>
    </row>
    <row r="322">
      <c r="A322" s="3"/>
      <c r="B322" s="3"/>
      <c r="C322" s="3"/>
      <c r="D322" s="3"/>
      <c r="E322" s="4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4"/>
      <c r="R322" s="3"/>
      <c r="S322" s="3"/>
      <c r="T322" s="3"/>
      <c r="U322" s="3"/>
    </row>
    <row r="323">
      <c r="A323" s="3"/>
      <c r="B323" s="3"/>
      <c r="C323" s="3"/>
      <c r="D323" s="3"/>
      <c r="E323" s="4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4"/>
      <c r="R323" s="3"/>
      <c r="S323" s="3"/>
      <c r="T323" s="3"/>
      <c r="U323" s="3"/>
    </row>
    <row r="324">
      <c r="A324" s="3"/>
      <c r="B324" s="3"/>
      <c r="C324" s="3"/>
      <c r="D324" s="3"/>
      <c r="E324" s="4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4"/>
      <c r="R324" s="3"/>
      <c r="S324" s="3"/>
      <c r="T324" s="3"/>
      <c r="U324" s="3"/>
    </row>
    <row r="325">
      <c r="A325" s="3"/>
      <c r="B325" s="3"/>
      <c r="C325" s="3"/>
      <c r="D325" s="3"/>
      <c r="E325" s="4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4"/>
      <c r="R325" s="3"/>
      <c r="S325" s="3"/>
      <c r="T325" s="3"/>
      <c r="U325" s="3"/>
    </row>
    <row r="326">
      <c r="A326" s="3"/>
      <c r="B326" s="3"/>
      <c r="C326" s="3"/>
      <c r="D326" s="3"/>
      <c r="E326" s="4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4"/>
      <c r="R326" s="3"/>
      <c r="S326" s="3"/>
      <c r="T326" s="3"/>
      <c r="U326" s="3"/>
    </row>
    <row r="327">
      <c r="A327" s="3"/>
      <c r="B327" s="3"/>
      <c r="C327" s="3"/>
      <c r="D327" s="3"/>
      <c r="E327" s="4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4"/>
      <c r="R327" s="3"/>
      <c r="S327" s="3"/>
      <c r="T327" s="3"/>
      <c r="U327" s="3"/>
    </row>
    <row r="328">
      <c r="A328" s="3"/>
      <c r="B328" s="3"/>
      <c r="C328" s="3"/>
      <c r="D328" s="3"/>
      <c r="E328" s="4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4"/>
      <c r="R328" s="3"/>
      <c r="S328" s="3"/>
      <c r="T328" s="3"/>
      <c r="U328" s="3"/>
    </row>
    <row r="329">
      <c r="A329" s="3"/>
      <c r="B329" s="3"/>
      <c r="C329" s="3"/>
      <c r="D329" s="3"/>
      <c r="E329" s="4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4"/>
      <c r="R329" s="3"/>
      <c r="S329" s="3"/>
      <c r="T329" s="3"/>
      <c r="U329" s="3"/>
    </row>
    <row r="330">
      <c r="A330" s="3"/>
      <c r="B330" s="3"/>
      <c r="C330" s="3"/>
      <c r="D330" s="3"/>
      <c r="E330" s="4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4"/>
      <c r="R330" s="3"/>
      <c r="S330" s="3"/>
      <c r="T330" s="3"/>
      <c r="U330" s="3"/>
    </row>
    <row r="331">
      <c r="A331" s="3"/>
      <c r="B331" s="3"/>
      <c r="C331" s="3"/>
      <c r="D331" s="3"/>
      <c r="E331" s="4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4"/>
      <c r="R331" s="3"/>
      <c r="S331" s="3"/>
      <c r="T331" s="3"/>
      <c r="U331" s="3"/>
    </row>
    <row r="332">
      <c r="A332" s="3"/>
      <c r="B332" s="3"/>
      <c r="C332" s="3"/>
      <c r="D332" s="3"/>
      <c r="E332" s="4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4"/>
      <c r="R332" s="3"/>
      <c r="S332" s="3"/>
      <c r="T332" s="3"/>
      <c r="U332" s="3"/>
    </row>
    <row r="333">
      <c r="A333" s="3"/>
      <c r="B333" s="3"/>
      <c r="C333" s="3"/>
      <c r="D333" s="3"/>
      <c r="E333" s="4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4"/>
      <c r="R333" s="3"/>
      <c r="S333" s="3"/>
      <c r="T333" s="3"/>
      <c r="U333" s="3"/>
    </row>
    <row r="334">
      <c r="A334" s="3"/>
      <c r="B334" s="3"/>
      <c r="C334" s="3"/>
      <c r="D334" s="3"/>
      <c r="E334" s="4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4"/>
      <c r="R334" s="3"/>
      <c r="S334" s="3"/>
      <c r="T334" s="3"/>
      <c r="U334" s="3"/>
    </row>
    <row r="335">
      <c r="A335" s="3"/>
      <c r="B335" s="3"/>
      <c r="C335" s="3"/>
      <c r="D335" s="3"/>
      <c r="E335" s="4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4"/>
      <c r="R335" s="3"/>
      <c r="S335" s="3"/>
      <c r="T335" s="3"/>
      <c r="U335" s="3"/>
    </row>
    <row r="336">
      <c r="A336" s="3"/>
      <c r="B336" s="3"/>
      <c r="C336" s="3"/>
      <c r="D336" s="3"/>
      <c r="E336" s="4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4"/>
      <c r="R336" s="3"/>
      <c r="S336" s="3"/>
      <c r="T336" s="3"/>
      <c r="U336" s="3"/>
    </row>
    <row r="337">
      <c r="A337" s="3"/>
      <c r="B337" s="3"/>
      <c r="C337" s="3"/>
      <c r="D337" s="3"/>
      <c r="E337" s="4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4"/>
      <c r="R337" s="3"/>
      <c r="S337" s="3"/>
      <c r="T337" s="3"/>
      <c r="U337" s="3"/>
    </row>
    <row r="338">
      <c r="A338" s="3"/>
      <c r="B338" s="3"/>
      <c r="C338" s="3"/>
      <c r="D338" s="3"/>
      <c r="E338" s="4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4"/>
      <c r="R338" s="3"/>
      <c r="S338" s="3"/>
      <c r="T338" s="3"/>
      <c r="U338" s="3"/>
    </row>
    <row r="339">
      <c r="A339" s="3"/>
      <c r="B339" s="3"/>
      <c r="C339" s="3"/>
      <c r="D339" s="3"/>
      <c r="E339" s="4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4"/>
      <c r="R339" s="3"/>
      <c r="S339" s="3"/>
      <c r="T339" s="3"/>
      <c r="U339" s="3"/>
    </row>
    <row r="340">
      <c r="A340" s="3"/>
      <c r="B340" s="3"/>
      <c r="C340" s="3"/>
      <c r="D340" s="3"/>
      <c r="E340" s="4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4"/>
      <c r="R340" s="3"/>
      <c r="S340" s="3"/>
      <c r="T340" s="3"/>
      <c r="U340" s="3"/>
    </row>
    <row r="341">
      <c r="A341" s="3"/>
      <c r="B341" s="3"/>
      <c r="C341" s="3"/>
      <c r="D341" s="3"/>
      <c r="E341" s="4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4"/>
      <c r="R341" s="3"/>
      <c r="S341" s="3"/>
      <c r="T341" s="3"/>
      <c r="U341" s="3"/>
    </row>
    <row r="342">
      <c r="A342" s="3"/>
      <c r="B342" s="3"/>
      <c r="C342" s="3"/>
      <c r="D342" s="3"/>
      <c r="E342" s="4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4"/>
      <c r="R342" s="3"/>
      <c r="S342" s="3"/>
      <c r="T342" s="3"/>
      <c r="U342" s="3"/>
    </row>
    <row r="343">
      <c r="A343" s="3"/>
      <c r="B343" s="3"/>
      <c r="C343" s="3"/>
      <c r="D343" s="3"/>
      <c r="E343" s="4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4"/>
      <c r="R343" s="3"/>
      <c r="S343" s="3"/>
      <c r="T343" s="3"/>
      <c r="U343" s="3"/>
    </row>
    <row r="344">
      <c r="A344" s="3"/>
      <c r="B344" s="3"/>
      <c r="C344" s="3"/>
      <c r="D344" s="3"/>
      <c r="E344" s="4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4"/>
      <c r="R344" s="3"/>
      <c r="S344" s="3"/>
      <c r="T344" s="3"/>
      <c r="U344" s="3"/>
    </row>
    <row r="345">
      <c r="A345" s="3"/>
      <c r="B345" s="3"/>
      <c r="C345" s="3"/>
      <c r="D345" s="3"/>
      <c r="E345" s="4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4"/>
      <c r="R345" s="3"/>
      <c r="S345" s="3"/>
      <c r="T345" s="3"/>
      <c r="U345" s="3"/>
    </row>
    <row r="346">
      <c r="A346" s="3"/>
      <c r="B346" s="3"/>
      <c r="C346" s="3"/>
      <c r="D346" s="3"/>
      <c r="E346" s="4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4"/>
      <c r="R346" s="3"/>
      <c r="S346" s="3"/>
      <c r="T346" s="3"/>
      <c r="U346" s="3"/>
    </row>
    <row r="347">
      <c r="A347" s="3"/>
      <c r="B347" s="3"/>
      <c r="C347" s="3"/>
      <c r="D347" s="3"/>
      <c r="E347" s="4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4"/>
      <c r="R347" s="3"/>
      <c r="S347" s="3"/>
      <c r="T347" s="3"/>
      <c r="U347" s="3"/>
    </row>
    <row r="348">
      <c r="A348" s="3"/>
      <c r="B348" s="3"/>
      <c r="C348" s="3"/>
      <c r="D348" s="3"/>
      <c r="E348" s="4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4"/>
      <c r="R348" s="3"/>
      <c r="S348" s="3"/>
      <c r="T348" s="3"/>
      <c r="U348" s="3"/>
    </row>
    <row r="349">
      <c r="A349" s="3"/>
      <c r="B349" s="3"/>
      <c r="C349" s="3"/>
      <c r="D349" s="3"/>
      <c r="E349" s="4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4"/>
      <c r="R349" s="3"/>
      <c r="S349" s="3"/>
      <c r="T349" s="3"/>
      <c r="U349" s="3"/>
    </row>
    <row r="350">
      <c r="A350" s="3"/>
      <c r="B350" s="3"/>
      <c r="C350" s="3"/>
      <c r="D350" s="3"/>
      <c r="E350" s="4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4"/>
      <c r="R350" s="3"/>
      <c r="S350" s="3"/>
      <c r="T350" s="3"/>
      <c r="U350" s="3"/>
    </row>
    <row r="351">
      <c r="A351" s="3"/>
      <c r="B351" s="3"/>
      <c r="C351" s="3"/>
      <c r="D351" s="3"/>
      <c r="E351" s="4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4"/>
      <c r="R351" s="3"/>
      <c r="S351" s="3"/>
      <c r="T351" s="3"/>
      <c r="U351" s="3"/>
    </row>
    <row r="352">
      <c r="A352" s="3"/>
      <c r="B352" s="3"/>
      <c r="C352" s="3"/>
      <c r="D352" s="3"/>
      <c r="E352" s="4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4"/>
      <c r="R352" s="3"/>
      <c r="S352" s="3"/>
      <c r="T352" s="3"/>
      <c r="U352" s="3"/>
    </row>
    <row r="353">
      <c r="A353" s="3"/>
      <c r="B353" s="3"/>
      <c r="C353" s="3"/>
      <c r="D353" s="3"/>
      <c r="E353" s="4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4"/>
      <c r="R353" s="3"/>
      <c r="S353" s="3"/>
      <c r="T353" s="3"/>
      <c r="U353" s="3"/>
    </row>
    <row r="354">
      <c r="A354" s="3"/>
      <c r="B354" s="3"/>
      <c r="C354" s="3"/>
      <c r="D354" s="3"/>
      <c r="E354" s="4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4"/>
      <c r="R354" s="3"/>
      <c r="S354" s="3"/>
      <c r="T354" s="3"/>
      <c r="U354" s="3"/>
    </row>
    <row r="355">
      <c r="A355" s="3"/>
      <c r="B355" s="3"/>
      <c r="C355" s="3"/>
      <c r="D355" s="3"/>
      <c r="E355" s="4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4"/>
      <c r="R355" s="3"/>
      <c r="S355" s="3"/>
      <c r="T355" s="3"/>
      <c r="U355" s="3"/>
    </row>
    <row r="356">
      <c r="A356" s="3"/>
      <c r="B356" s="3"/>
      <c r="C356" s="3"/>
      <c r="D356" s="3"/>
      <c r="E356" s="4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4"/>
      <c r="R356" s="3"/>
      <c r="S356" s="3"/>
      <c r="T356" s="3"/>
      <c r="U356" s="3"/>
    </row>
    <row r="357">
      <c r="A357" s="3"/>
      <c r="B357" s="3"/>
      <c r="C357" s="3"/>
      <c r="D357" s="3"/>
      <c r="E357" s="4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4"/>
      <c r="R357" s="3"/>
      <c r="S357" s="3"/>
      <c r="T357" s="3"/>
      <c r="U357" s="3"/>
    </row>
    <row r="358">
      <c r="A358" s="3"/>
      <c r="B358" s="3"/>
      <c r="C358" s="3"/>
      <c r="D358" s="3"/>
      <c r="E358" s="4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4"/>
      <c r="R358" s="3"/>
      <c r="S358" s="3"/>
      <c r="T358" s="3"/>
      <c r="U358" s="3"/>
    </row>
    <row r="359">
      <c r="A359" s="3"/>
      <c r="B359" s="3"/>
      <c r="C359" s="3"/>
      <c r="D359" s="3"/>
      <c r="E359" s="4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4"/>
      <c r="R359" s="3"/>
      <c r="S359" s="3"/>
      <c r="T359" s="3"/>
      <c r="U359" s="3"/>
    </row>
    <row r="360">
      <c r="A360" s="3"/>
      <c r="B360" s="3"/>
      <c r="C360" s="3"/>
      <c r="D360" s="3"/>
      <c r="E360" s="4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4"/>
      <c r="R360" s="3"/>
      <c r="S360" s="3"/>
      <c r="T360" s="3"/>
      <c r="U360" s="3"/>
    </row>
    <row r="361">
      <c r="A361" s="3"/>
      <c r="B361" s="3"/>
      <c r="C361" s="3"/>
      <c r="D361" s="3"/>
      <c r="E361" s="4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4"/>
      <c r="R361" s="3"/>
      <c r="S361" s="3"/>
      <c r="T361" s="3"/>
      <c r="U361" s="3"/>
    </row>
    <row r="362">
      <c r="A362" s="3"/>
      <c r="B362" s="3"/>
      <c r="C362" s="3"/>
      <c r="D362" s="3"/>
      <c r="E362" s="4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4"/>
      <c r="R362" s="3"/>
      <c r="S362" s="3"/>
      <c r="T362" s="3"/>
      <c r="U362" s="3"/>
    </row>
    <row r="363">
      <c r="A363" s="3"/>
      <c r="B363" s="3"/>
      <c r="C363" s="3"/>
      <c r="D363" s="3"/>
      <c r="E363" s="4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4"/>
      <c r="R363" s="3"/>
      <c r="S363" s="3"/>
      <c r="T363" s="3"/>
      <c r="U363" s="3"/>
    </row>
    <row r="364">
      <c r="A364" s="3"/>
      <c r="B364" s="3"/>
      <c r="C364" s="3"/>
      <c r="D364" s="3"/>
      <c r="E364" s="4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4"/>
      <c r="R364" s="3"/>
      <c r="S364" s="3"/>
      <c r="T364" s="3"/>
      <c r="U364" s="3"/>
    </row>
    <row r="365">
      <c r="A365" s="3"/>
      <c r="B365" s="3"/>
      <c r="C365" s="3"/>
      <c r="D365" s="3"/>
      <c r="E365" s="4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4"/>
      <c r="R365" s="3"/>
      <c r="S365" s="3"/>
      <c r="T365" s="3"/>
      <c r="U365" s="3"/>
    </row>
    <row r="366">
      <c r="A366" s="3"/>
      <c r="B366" s="3"/>
      <c r="C366" s="3"/>
      <c r="D366" s="3"/>
      <c r="E366" s="4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4"/>
      <c r="R366" s="3"/>
      <c r="S366" s="3"/>
      <c r="T366" s="3"/>
      <c r="U366" s="3"/>
    </row>
    <row r="367">
      <c r="A367" s="3"/>
      <c r="B367" s="3"/>
      <c r="C367" s="3"/>
      <c r="D367" s="3"/>
      <c r="E367" s="4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4"/>
      <c r="R367" s="3"/>
      <c r="S367" s="3"/>
      <c r="T367" s="3"/>
      <c r="U367" s="3"/>
    </row>
    <row r="368">
      <c r="A368" s="3"/>
      <c r="B368" s="3"/>
      <c r="C368" s="3"/>
      <c r="D368" s="3"/>
      <c r="E368" s="4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4"/>
      <c r="R368" s="3"/>
      <c r="S368" s="3"/>
      <c r="T368" s="3"/>
      <c r="U368" s="3"/>
    </row>
    <row r="369">
      <c r="A369" s="3"/>
      <c r="B369" s="3"/>
      <c r="C369" s="3"/>
      <c r="D369" s="3"/>
      <c r="E369" s="4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4"/>
      <c r="R369" s="3"/>
      <c r="S369" s="3"/>
      <c r="T369" s="3"/>
      <c r="U369" s="3"/>
    </row>
    <row r="370">
      <c r="A370" s="3"/>
      <c r="B370" s="3"/>
      <c r="C370" s="3"/>
      <c r="D370" s="3"/>
      <c r="E370" s="4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4"/>
      <c r="R370" s="3"/>
      <c r="S370" s="3"/>
      <c r="T370" s="3"/>
      <c r="U370" s="3"/>
    </row>
    <row r="371">
      <c r="A371" s="3"/>
      <c r="B371" s="3"/>
      <c r="C371" s="3"/>
      <c r="D371" s="3"/>
      <c r="E371" s="4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4"/>
      <c r="R371" s="3"/>
      <c r="S371" s="3"/>
      <c r="T371" s="3"/>
      <c r="U371" s="3"/>
    </row>
    <row r="372">
      <c r="A372" s="3"/>
      <c r="B372" s="3"/>
      <c r="C372" s="3"/>
      <c r="D372" s="3"/>
      <c r="E372" s="4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4"/>
      <c r="R372" s="3"/>
      <c r="S372" s="3"/>
      <c r="T372" s="3"/>
      <c r="U372" s="3"/>
    </row>
    <row r="373">
      <c r="A373" s="3"/>
      <c r="B373" s="3"/>
      <c r="C373" s="3"/>
      <c r="D373" s="3"/>
      <c r="E373" s="4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4"/>
      <c r="R373" s="3"/>
      <c r="S373" s="3"/>
      <c r="T373" s="3"/>
      <c r="U373" s="3"/>
    </row>
    <row r="374">
      <c r="A374" s="3"/>
      <c r="B374" s="3"/>
      <c r="C374" s="3"/>
      <c r="D374" s="3"/>
      <c r="E374" s="4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4"/>
      <c r="R374" s="3"/>
      <c r="S374" s="3"/>
      <c r="T374" s="3"/>
      <c r="U374" s="3"/>
    </row>
    <row r="375">
      <c r="A375" s="3"/>
      <c r="B375" s="3"/>
      <c r="C375" s="3"/>
      <c r="D375" s="3"/>
      <c r="E375" s="4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4"/>
      <c r="R375" s="3"/>
      <c r="S375" s="3"/>
      <c r="T375" s="3"/>
      <c r="U375" s="3"/>
    </row>
    <row r="376">
      <c r="A376" s="3"/>
      <c r="B376" s="3"/>
      <c r="C376" s="3"/>
      <c r="D376" s="3"/>
      <c r="E376" s="4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4"/>
      <c r="R376" s="3"/>
      <c r="S376" s="3"/>
      <c r="T376" s="3"/>
      <c r="U376" s="3"/>
    </row>
    <row r="377">
      <c r="A377" s="3"/>
      <c r="B377" s="3"/>
      <c r="C377" s="3"/>
      <c r="D377" s="3"/>
      <c r="E377" s="4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4"/>
      <c r="R377" s="3"/>
      <c r="S377" s="3"/>
      <c r="T377" s="3"/>
      <c r="U377" s="3"/>
    </row>
    <row r="378">
      <c r="A378" s="3"/>
      <c r="B378" s="3"/>
      <c r="C378" s="3"/>
      <c r="D378" s="3"/>
      <c r="E378" s="4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4"/>
      <c r="R378" s="3"/>
      <c r="S378" s="3"/>
      <c r="T378" s="3"/>
      <c r="U378" s="3"/>
    </row>
    <row r="379">
      <c r="A379" s="3"/>
      <c r="B379" s="3"/>
      <c r="C379" s="3"/>
      <c r="D379" s="3"/>
      <c r="E379" s="4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4"/>
      <c r="R379" s="3"/>
      <c r="S379" s="3"/>
      <c r="T379" s="3"/>
      <c r="U379" s="3"/>
    </row>
    <row r="380">
      <c r="A380" s="3"/>
      <c r="B380" s="3"/>
      <c r="C380" s="3"/>
      <c r="D380" s="3"/>
      <c r="E380" s="4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4"/>
      <c r="R380" s="3"/>
      <c r="S380" s="3"/>
      <c r="T380" s="3"/>
      <c r="U380" s="3"/>
    </row>
    <row r="381">
      <c r="A381" s="3"/>
      <c r="B381" s="3"/>
      <c r="C381" s="3"/>
      <c r="D381" s="3"/>
      <c r="E381" s="4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4"/>
      <c r="R381" s="3"/>
      <c r="S381" s="3"/>
      <c r="T381" s="3"/>
      <c r="U381" s="3"/>
    </row>
    <row r="382">
      <c r="A382" s="3"/>
      <c r="B382" s="3"/>
      <c r="C382" s="3"/>
      <c r="D382" s="3"/>
      <c r="E382" s="4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4"/>
      <c r="R382" s="3"/>
      <c r="S382" s="3"/>
      <c r="T382" s="3"/>
      <c r="U382" s="3"/>
    </row>
    <row r="383">
      <c r="A383" s="3"/>
      <c r="B383" s="3"/>
      <c r="C383" s="3"/>
      <c r="D383" s="3"/>
      <c r="E383" s="4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4"/>
      <c r="R383" s="3"/>
      <c r="S383" s="3"/>
      <c r="T383" s="3"/>
      <c r="U383" s="3"/>
    </row>
    <row r="384">
      <c r="A384" s="3"/>
      <c r="B384" s="3"/>
      <c r="C384" s="3"/>
      <c r="D384" s="3"/>
      <c r="E384" s="4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4"/>
      <c r="R384" s="3"/>
      <c r="S384" s="3"/>
      <c r="T384" s="3"/>
      <c r="U384" s="3"/>
    </row>
    <row r="385">
      <c r="A385" s="3"/>
      <c r="B385" s="3"/>
      <c r="C385" s="3"/>
      <c r="D385" s="3"/>
      <c r="E385" s="4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4"/>
      <c r="R385" s="3"/>
      <c r="S385" s="3"/>
      <c r="T385" s="3"/>
      <c r="U385" s="3"/>
    </row>
    <row r="386">
      <c r="A386" s="3"/>
      <c r="B386" s="3"/>
      <c r="C386" s="3"/>
      <c r="D386" s="3"/>
      <c r="E386" s="4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4"/>
      <c r="R386" s="3"/>
      <c r="S386" s="3"/>
      <c r="T386" s="3"/>
      <c r="U386" s="3"/>
    </row>
    <row r="387">
      <c r="A387" s="3"/>
      <c r="B387" s="3"/>
      <c r="C387" s="3"/>
      <c r="D387" s="3"/>
      <c r="E387" s="4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4"/>
      <c r="R387" s="3"/>
      <c r="S387" s="3"/>
      <c r="T387" s="3"/>
      <c r="U387" s="3"/>
    </row>
    <row r="388">
      <c r="A388" s="3"/>
      <c r="B388" s="3"/>
      <c r="C388" s="3"/>
      <c r="D388" s="3"/>
      <c r="E388" s="4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4"/>
      <c r="R388" s="3"/>
      <c r="S388" s="3"/>
      <c r="T388" s="3"/>
      <c r="U388" s="3"/>
    </row>
    <row r="389">
      <c r="A389" s="3"/>
      <c r="B389" s="3"/>
      <c r="C389" s="3"/>
      <c r="D389" s="3"/>
      <c r="E389" s="4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4"/>
      <c r="R389" s="3"/>
      <c r="S389" s="3"/>
      <c r="T389" s="3"/>
      <c r="U389" s="3"/>
    </row>
    <row r="390">
      <c r="A390" s="3"/>
      <c r="B390" s="3"/>
      <c r="C390" s="3"/>
      <c r="D390" s="3"/>
      <c r="E390" s="4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4"/>
      <c r="R390" s="3"/>
      <c r="S390" s="3"/>
      <c r="T390" s="3"/>
      <c r="U390" s="3"/>
    </row>
    <row r="391">
      <c r="A391" s="3"/>
      <c r="B391" s="3"/>
      <c r="C391" s="3"/>
      <c r="D391" s="3"/>
      <c r="E391" s="4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4"/>
      <c r="R391" s="3"/>
      <c r="S391" s="3"/>
      <c r="T391" s="3"/>
      <c r="U391" s="3"/>
    </row>
    <row r="392">
      <c r="A392" s="3"/>
      <c r="B392" s="3"/>
      <c r="C392" s="3"/>
      <c r="D392" s="3"/>
      <c r="E392" s="4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4"/>
      <c r="R392" s="3"/>
      <c r="S392" s="3"/>
      <c r="T392" s="3"/>
      <c r="U392" s="3"/>
    </row>
    <row r="393">
      <c r="A393" s="3"/>
      <c r="B393" s="3"/>
      <c r="C393" s="3"/>
      <c r="D393" s="3"/>
      <c r="E393" s="4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4"/>
      <c r="R393" s="3"/>
      <c r="S393" s="3"/>
      <c r="T393" s="3"/>
      <c r="U393" s="3"/>
    </row>
    <row r="394">
      <c r="A394" s="3"/>
      <c r="B394" s="3"/>
      <c r="C394" s="3"/>
      <c r="D394" s="3"/>
      <c r="E394" s="4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4"/>
      <c r="R394" s="3"/>
      <c r="S394" s="3"/>
      <c r="T394" s="3"/>
      <c r="U394" s="3"/>
    </row>
    <row r="395">
      <c r="A395" s="3"/>
      <c r="B395" s="3"/>
      <c r="C395" s="3"/>
      <c r="D395" s="3"/>
      <c r="E395" s="4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4"/>
      <c r="R395" s="3"/>
      <c r="S395" s="3"/>
      <c r="T395" s="3"/>
      <c r="U395" s="3"/>
    </row>
    <row r="396">
      <c r="A396" s="3"/>
      <c r="B396" s="3"/>
      <c r="C396" s="3"/>
      <c r="D396" s="3"/>
      <c r="E396" s="4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4"/>
      <c r="R396" s="3"/>
      <c r="S396" s="3"/>
      <c r="T396" s="3"/>
      <c r="U396" s="3"/>
    </row>
    <row r="397">
      <c r="A397" s="3"/>
      <c r="B397" s="3"/>
      <c r="C397" s="3"/>
      <c r="D397" s="3"/>
      <c r="E397" s="4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4"/>
      <c r="R397" s="3"/>
      <c r="S397" s="3"/>
      <c r="T397" s="3"/>
      <c r="U397" s="3"/>
    </row>
    <row r="398">
      <c r="A398" s="3"/>
      <c r="B398" s="3"/>
      <c r="C398" s="3"/>
      <c r="D398" s="3"/>
      <c r="E398" s="4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4"/>
      <c r="R398" s="3"/>
      <c r="S398" s="3"/>
      <c r="T398" s="3"/>
      <c r="U398" s="3"/>
    </row>
    <row r="399">
      <c r="A399" s="3"/>
      <c r="B399" s="3"/>
      <c r="C399" s="3"/>
      <c r="D399" s="3"/>
      <c r="E399" s="4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4"/>
      <c r="R399" s="3"/>
      <c r="S399" s="3"/>
      <c r="T399" s="3"/>
      <c r="U399" s="3"/>
    </row>
    <row r="400">
      <c r="A400" s="3"/>
      <c r="B400" s="3"/>
      <c r="C400" s="3"/>
      <c r="D400" s="3"/>
      <c r="E400" s="4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4"/>
      <c r="R400" s="3"/>
      <c r="S400" s="3"/>
      <c r="T400" s="3"/>
      <c r="U400" s="3"/>
    </row>
    <row r="401">
      <c r="A401" s="3"/>
      <c r="B401" s="3"/>
      <c r="C401" s="3"/>
      <c r="D401" s="3"/>
      <c r="E401" s="4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4"/>
      <c r="R401" s="3"/>
      <c r="S401" s="3"/>
      <c r="T401" s="3"/>
      <c r="U401" s="3"/>
    </row>
    <row r="402">
      <c r="A402" s="3"/>
      <c r="B402" s="3"/>
      <c r="C402" s="3"/>
      <c r="D402" s="3"/>
      <c r="E402" s="4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4"/>
      <c r="R402" s="3"/>
      <c r="S402" s="3"/>
      <c r="T402" s="3"/>
      <c r="U402" s="3"/>
    </row>
    <row r="403">
      <c r="A403" s="3"/>
      <c r="B403" s="3"/>
      <c r="C403" s="3"/>
      <c r="D403" s="3"/>
      <c r="E403" s="4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4"/>
      <c r="R403" s="3"/>
      <c r="S403" s="3"/>
      <c r="T403" s="3"/>
      <c r="U403" s="3"/>
    </row>
    <row r="404">
      <c r="A404" s="3"/>
      <c r="B404" s="3"/>
      <c r="C404" s="3"/>
      <c r="D404" s="3"/>
      <c r="E404" s="4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4"/>
      <c r="R404" s="3"/>
      <c r="S404" s="3"/>
      <c r="T404" s="3"/>
      <c r="U404" s="3"/>
    </row>
    <row r="405">
      <c r="A405" s="3"/>
      <c r="B405" s="3"/>
      <c r="C405" s="3"/>
      <c r="D405" s="3"/>
      <c r="E405" s="4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4"/>
      <c r="R405" s="3"/>
      <c r="S405" s="3"/>
      <c r="T405" s="3"/>
      <c r="U405" s="3"/>
    </row>
    <row r="406">
      <c r="A406" s="3"/>
      <c r="B406" s="3"/>
      <c r="C406" s="3"/>
      <c r="D406" s="3"/>
      <c r="E406" s="4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4"/>
      <c r="R406" s="3"/>
      <c r="S406" s="3"/>
      <c r="T406" s="3"/>
      <c r="U406" s="3"/>
    </row>
    <row r="407">
      <c r="A407" s="3"/>
      <c r="B407" s="3"/>
      <c r="C407" s="3"/>
      <c r="D407" s="3"/>
      <c r="E407" s="4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4"/>
      <c r="R407" s="3"/>
      <c r="S407" s="3"/>
      <c r="T407" s="3"/>
      <c r="U407" s="3"/>
    </row>
    <row r="408">
      <c r="A408" s="3"/>
      <c r="B408" s="3"/>
      <c r="C408" s="3"/>
      <c r="D408" s="3"/>
      <c r="E408" s="4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4"/>
      <c r="R408" s="3"/>
      <c r="S408" s="3"/>
      <c r="T408" s="3"/>
      <c r="U408" s="3"/>
    </row>
    <row r="409">
      <c r="A409" s="3"/>
      <c r="B409" s="3"/>
      <c r="C409" s="3"/>
      <c r="D409" s="3"/>
      <c r="E409" s="4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4"/>
      <c r="R409" s="3"/>
      <c r="S409" s="3"/>
      <c r="T409" s="3"/>
      <c r="U409" s="3"/>
    </row>
    <row r="410">
      <c r="A410" s="3"/>
      <c r="B410" s="3"/>
      <c r="C410" s="3"/>
      <c r="D410" s="3"/>
      <c r="E410" s="4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4"/>
      <c r="R410" s="3"/>
      <c r="S410" s="3"/>
      <c r="T410" s="3"/>
      <c r="U410" s="3"/>
    </row>
    <row r="411">
      <c r="A411" s="3"/>
      <c r="B411" s="3"/>
      <c r="C411" s="3"/>
      <c r="D411" s="3"/>
      <c r="E411" s="4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4"/>
      <c r="R411" s="3"/>
      <c r="S411" s="3"/>
      <c r="T411" s="3"/>
      <c r="U411" s="3"/>
    </row>
    <row r="412">
      <c r="A412" s="3"/>
      <c r="B412" s="3"/>
      <c r="C412" s="3"/>
      <c r="D412" s="3"/>
      <c r="E412" s="4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4"/>
      <c r="R412" s="3"/>
      <c r="S412" s="3"/>
      <c r="T412" s="3"/>
      <c r="U412" s="3"/>
    </row>
    <row r="413">
      <c r="A413" s="3"/>
      <c r="B413" s="3"/>
      <c r="C413" s="3"/>
      <c r="D413" s="3"/>
      <c r="E413" s="4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4"/>
      <c r="R413" s="3"/>
      <c r="S413" s="3"/>
      <c r="T413" s="3"/>
      <c r="U413" s="3"/>
    </row>
    <row r="414">
      <c r="A414" s="3"/>
      <c r="B414" s="3"/>
      <c r="C414" s="3"/>
      <c r="D414" s="3"/>
      <c r="E414" s="4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4"/>
      <c r="R414" s="3"/>
      <c r="S414" s="3"/>
      <c r="T414" s="3"/>
      <c r="U414" s="3"/>
    </row>
    <row r="415">
      <c r="A415" s="3"/>
      <c r="B415" s="3"/>
      <c r="C415" s="3"/>
      <c r="D415" s="3"/>
      <c r="E415" s="4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4"/>
      <c r="R415" s="3"/>
      <c r="S415" s="3"/>
      <c r="T415" s="3"/>
      <c r="U415" s="3"/>
    </row>
    <row r="416">
      <c r="A416" s="3"/>
      <c r="B416" s="3"/>
      <c r="C416" s="3"/>
      <c r="D416" s="3"/>
      <c r="E416" s="4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4"/>
      <c r="R416" s="3"/>
      <c r="S416" s="3"/>
      <c r="T416" s="3"/>
      <c r="U416" s="3"/>
    </row>
    <row r="417">
      <c r="A417" s="3"/>
      <c r="B417" s="3"/>
      <c r="C417" s="3"/>
      <c r="D417" s="3"/>
      <c r="E417" s="4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4"/>
      <c r="R417" s="3"/>
      <c r="S417" s="3"/>
      <c r="T417" s="3"/>
      <c r="U417" s="3"/>
    </row>
    <row r="418">
      <c r="A418" s="3"/>
      <c r="B418" s="3"/>
      <c r="C418" s="3"/>
      <c r="D418" s="3"/>
      <c r="E418" s="4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4"/>
      <c r="R418" s="3"/>
      <c r="S418" s="3"/>
      <c r="T418" s="3"/>
      <c r="U418" s="3"/>
    </row>
    <row r="419">
      <c r="A419" s="3"/>
      <c r="B419" s="3"/>
      <c r="C419" s="3"/>
      <c r="D419" s="3"/>
      <c r="E419" s="4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4"/>
      <c r="R419" s="3"/>
      <c r="S419" s="3"/>
      <c r="T419" s="3"/>
      <c r="U419" s="3"/>
    </row>
    <row r="420">
      <c r="A420" s="3"/>
      <c r="B420" s="3"/>
      <c r="C420" s="3"/>
      <c r="D420" s="3"/>
      <c r="E420" s="4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4"/>
      <c r="R420" s="3"/>
      <c r="S420" s="3"/>
      <c r="T420" s="3"/>
      <c r="U420" s="3"/>
    </row>
    <row r="421">
      <c r="A421" s="3"/>
      <c r="B421" s="3"/>
      <c r="C421" s="3"/>
      <c r="D421" s="3"/>
      <c r="E421" s="4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4"/>
      <c r="R421" s="3"/>
      <c r="S421" s="3"/>
      <c r="T421" s="3"/>
      <c r="U421" s="3"/>
    </row>
    <row r="422">
      <c r="A422" s="3"/>
      <c r="B422" s="3"/>
      <c r="C422" s="3"/>
      <c r="D422" s="3"/>
      <c r="E422" s="4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4"/>
      <c r="R422" s="3"/>
      <c r="S422" s="3"/>
      <c r="T422" s="3"/>
      <c r="U422" s="3"/>
    </row>
    <row r="423">
      <c r="A423" s="3"/>
      <c r="B423" s="3"/>
      <c r="C423" s="3"/>
      <c r="D423" s="3"/>
      <c r="E423" s="4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4"/>
      <c r="R423" s="3"/>
      <c r="S423" s="3"/>
      <c r="T423" s="3"/>
      <c r="U423" s="3"/>
    </row>
    <row r="424">
      <c r="A424" s="3"/>
      <c r="B424" s="3"/>
      <c r="C424" s="3"/>
      <c r="D424" s="3"/>
      <c r="E424" s="4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4"/>
      <c r="R424" s="3"/>
      <c r="S424" s="3"/>
      <c r="T424" s="3"/>
      <c r="U424" s="3"/>
    </row>
    <row r="425">
      <c r="A425" s="3"/>
      <c r="B425" s="3"/>
      <c r="C425" s="3"/>
      <c r="D425" s="3"/>
      <c r="E425" s="4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4"/>
      <c r="R425" s="3"/>
      <c r="S425" s="3"/>
      <c r="T425" s="3"/>
      <c r="U425" s="3"/>
    </row>
    <row r="426">
      <c r="A426" s="3"/>
      <c r="B426" s="3"/>
      <c r="C426" s="3"/>
      <c r="D426" s="3"/>
      <c r="E426" s="4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4"/>
      <c r="R426" s="3"/>
      <c r="S426" s="3"/>
      <c r="T426" s="3"/>
      <c r="U426" s="3"/>
    </row>
    <row r="427">
      <c r="A427" s="3"/>
      <c r="B427" s="3"/>
      <c r="C427" s="3"/>
      <c r="D427" s="3"/>
      <c r="E427" s="4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4"/>
      <c r="R427" s="3"/>
      <c r="S427" s="3"/>
      <c r="T427" s="3"/>
      <c r="U427" s="3"/>
    </row>
    <row r="428">
      <c r="A428" s="3"/>
      <c r="B428" s="3"/>
      <c r="C428" s="3"/>
      <c r="D428" s="3"/>
      <c r="E428" s="4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4"/>
      <c r="R428" s="3"/>
      <c r="S428" s="3"/>
      <c r="T428" s="3"/>
      <c r="U428" s="3"/>
    </row>
    <row r="429">
      <c r="A429" s="3"/>
      <c r="B429" s="3"/>
      <c r="C429" s="3"/>
      <c r="D429" s="3"/>
      <c r="E429" s="4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4"/>
      <c r="R429" s="3"/>
      <c r="S429" s="3"/>
      <c r="T429" s="3"/>
      <c r="U429" s="3"/>
    </row>
    <row r="430">
      <c r="A430" s="3"/>
      <c r="B430" s="3"/>
      <c r="C430" s="3"/>
      <c r="D430" s="3"/>
      <c r="E430" s="4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4"/>
      <c r="R430" s="3"/>
      <c r="S430" s="3"/>
      <c r="T430" s="3"/>
      <c r="U430" s="3"/>
    </row>
    <row r="431">
      <c r="A431" s="3"/>
      <c r="B431" s="3"/>
      <c r="C431" s="3"/>
      <c r="D431" s="3"/>
      <c r="E431" s="4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4"/>
      <c r="R431" s="3"/>
      <c r="S431" s="3"/>
      <c r="T431" s="3"/>
      <c r="U431" s="3"/>
    </row>
    <row r="432">
      <c r="A432" s="3"/>
      <c r="B432" s="3"/>
      <c r="C432" s="3"/>
      <c r="D432" s="3"/>
      <c r="E432" s="4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4"/>
      <c r="R432" s="3"/>
      <c r="S432" s="3"/>
      <c r="T432" s="3"/>
      <c r="U432" s="3"/>
    </row>
    <row r="433">
      <c r="A433" s="3"/>
      <c r="B433" s="3"/>
      <c r="C433" s="3"/>
      <c r="D433" s="3"/>
      <c r="E433" s="4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4"/>
      <c r="R433" s="3"/>
      <c r="S433" s="3"/>
      <c r="T433" s="3"/>
      <c r="U433" s="3"/>
    </row>
    <row r="434">
      <c r="A434" s="3"/>
      <c r="B434" s="3"/>
      <c r="C434" s="3"/>
      <c r="D434" s="3"/>
      <c r="E434" s="4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4"/>
      <c r="R434" s="3"/>
      <c r="S434" s="3"/>
      <c r="T434" s="3"/>
      <c r="U434" s="3"/>
    </row>
    <row r="435">
      <c r="A435" s="3"/>
      <c r="B435" s="3"/>
      <c r="C435" s="3"/>
      <c r="D435" s="3"/>
      <c r="E435" s="4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4"/>
      <c r="R435" s="3"/>
      <c r="S435" s="3"/>
      <c r="T435" s="3"/>
      <c r="U435" s="3"/>
    </row>
    <row r="436">
      <c r="A436" s="3"/>
      <c r="B436" s="3"/>
      <c r="C436" s="3"/>
      <c r="D436" s="3"/>
      <c r="E436" s="4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4"/>
      <c r="R436" s="3"/>
      <c r="S436" s="3"/>
      <c r="T436" s="3"/>
      <c r="U436" s="3"/>
    </row>
    <row r="437">
      <c r="A437" s="3"/>
      <c r="B437" s="3"/>
      <c r="C437" s="3"/>
      <c r="D437" s="3"/>
      <c r="E437" s="4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4"/>
      <c r="R437" s="3"/>
      <c r="S437" s="3"/>
      <c r="T437" s="3"/>
      <c r="U437" s="3"/>
    </row>
    <row r="438">
      <c r="A438" s="3"/>
      <c r="B438" s="3"/>
      <c r="C438" s="3"/>
      <c r="D438" s="3"/>
      <c r="E438" s="4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4"/>
      <c r="R438" s="3"/>
      <c r="S438" s="3"/>
      <c r="T438" s="3"/>
      <c r="U438" s="3"/>
    </row>
    <row r="439">
      <c r="A439" s="3"/>
      <c r="B439" s="3"/>
      <c r="C439" s="3"/>
      <c r="D439" s="3"/>
      <c r="E439" s="4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4"/>
      <c r="R439" s="3"/>
      <c r="S439" s="3"/>
      <c r="T439" s="3"/>
      <c r="U439" s="3"/>
    </row>
    <row r="440">
      <c r="A440" s="3"/>
      <c r="B440" s="3"/>
      <c r="C440" s="3"/>
      <c r="D440" s="3"/>
      <c r="E440" s="4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4"/>
      <c r="R440" s="3"/>
      <c r="S440" s="3"/>
      <c r="T440" s="3"/>
      <c r="U440" s="3"/>
    </row>
    <row r="441">
      <c r="A441" s="3"/>
      <c r="B441" s="3"/>
      <c r="C441" s="3"/>
      <c r="D441" s="3"/>
      <c r="E441" s="4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4"/>
      <c r="R441" s="3"/>
      <c r="S441" s="3"/>
      <c r="T441" s="3"/>
      <c r="U441" s="3"/>
    </row>
    <row r="442">
      <c r="A442" s="3"/>
      <c r="B442" s="3"/>
      <c r="C442" s="3"/>
      <c r="D442" s="3"/>
      <c r="E442" s="4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4"/>
      <c r="R442" s="3"/>
      <c r="S442" s="3"/>
      <c r="T442" s="3"/>
      <c r="U442" s="3"/>
    </row>
    <row r="443">
      <c r="A443" s="3"/>
      <c r="B443" s="3"/>
      <c r="C443" s="3"/>
      <c r="D443" s="3"/>
      <c r="E443" s="4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4"/>
      <c r="R443" s="3"/>
      <c r="S443" s="3"/>
      <c r="T443" s="3"/>
      <c r="U443" s="3"/>
    </row>
    <row r="444">
      <c r="A444" s="3"/>
      <c r="B444" s="3"/>
      <c r="C444" s="3"/>
      <c r="D444" s="3"/>
      <c r="E444" s="4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4"/>
      <c r="R444" s="3"/>
      <c r="S444" s="3"/>
      <c r="T444" s="3"/>
      <c r="U444" s="3"/>
    </row>
    <row r="445">
      <c r="A445" s="3"/>
      <c r="B445" s="3"/>
      <c r="C445" s="3"/>
      <c r="D445" s="3"/>
      <c r="E445" s="4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4"/>
      <c r="R445" s="3"/>
      <c r="S445" s="3"/>
      <c r="T445" s="3"/>
      <c r="U445" s="3"/>
    </row>
    <row r="446">
      <c r="A446" s="3"/>
      <c r="B446" s="3"/>
      <c r="C446" s="3"/>
      <c r="D446" s="3"/>
      <c r="E446" s="4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4"/>
      <c r="R446" s="3"/>
      <c r="S446" s="3"/>
      <c r="T446" s="3"/>
      <c r="U446" s="3"/>
    </row>
    <row r="447">
      <c r="A447" s="3"/>
      <c r="B447" s="3"/>
      <c r="C447" s="3"/>
      <c r="D447" s="3"/>
      <c r="E447" s="4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4"/>
      <c r="R447" s="3"/>
      <c r="S447" s="3"/>
      <c r="T447" s="3"/>
      <c r="U447" s="3"/>
    </row>
    <row r="448">
      <c r="A448" s="3"/>
      <c r="B448" s="3"/>
      <c r="C448" s="3"/>
      <c r="D448" s="3"/>
      <c r="E448" s="4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4"/>
      <c r="R448" s="3"/>
      <c r="S448" s="3"/>
      <c r="T448" s="3"/>
      <c r="U448" s="3"/>
    </row>
    <row r="449">
      <c r="A449" s="3"/>
      <c r="B449" s="3"/>
      <c r="C449" s="3"/>
      <c r="D449" s="3"/>
      <c r="E449" s="4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4"/>
      <c r="R449" s="3"/>
      <c r="S449" s="3"/>
      <c r="T449" s="3"/>
      <c r="U449" s="3"/>
    </row>
    <row r="450">
      <c r="A450" s="3"/>
      <c r="B450" s="3"/>
      <c r="C450" s="3"/>
      <c r="D450" s="3"/>
      <c r="E450" s="4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4"/>
      <c r="R450" s="3"/>
      <c r="S450" s="3"/>
      <c r="T450" s="3"/>
      <c r="U450" s="3"/>
    </row>
    <row r="451">
      <c r="A451" s="3"/>
      <c r="B451" s="3"/>
      <c r="C451" s="3"/>
      <c r="D451" s="3"/>
      <c r="E451" s="4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4"/>
      <c r="R451" s="3"/>
      <c r="S451" s="3"/>
      <c r="T451" s="3"/>
      <c r="U451" s="3"/>
    </row>
    <row r="452">
      <c r="A452" s="3"/>
      <c r="B452" s="3"/>
      <c r="C452" s="3"/>
      <c r="D452" s="3"/>
      <c r="E452" s="4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4"/>
      <c r="R452" s="3"/>
      <c r="S452" s="3"/>
      <c r="T452" s="3"/>
      <c r="U452" s="3"/>
    </row>
    <row r="453">
      <c r="A453" s="3"/>
      <c r="B453" s="3"/>
      <c r="C453" s="3"/>
      <c r="D453" s="3"/>
      <c r="E453" s="4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4"/>
      <c r="R453" s="3"/>
      <c r="S453" s="3"/>
      <c r="T453" s="3"/>
      <c r="U453" s="3"/>
    </row>
    <row r="454">
      <c r="A454" s="3"/>
      <c r="B454" s="3"/>
      <c r="C454" s="3"/>
      <c r="D454" s="3"/>
      <c r="E454" s="4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4"/>
      <c r="R454" s="3"/>
      <c r="S454" s="3"/>
      <c r="T454" s="3"/>
      <c r="U454" s="3"/>
    </row>
    <row r="455">
      <c r="A455" s="3"/>
      <c r="B455" s="3"/>
      <c r="C455" s="3"/>
      <c r="D455" s="3"/>
      <c r="E455" s="4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4"/>
      <c r="R455" s="3"/>
      <c r="S455" s="3"/>
      <c r="T455" s="3"/>
      <c r="U455" s="3"/>
    </row>
    <row r="456">
      <c r="A456" s="3"/>
      <c r="B456" s="3"/>
      <c r="C456" s="3"/>
      <c r="D456" s="3"/>
      <c r="E456" s="4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4"/>
      <c r="R456" s="3"/>
      <c r="S456" s="3"/>
      <c r="T456" s="3"/>
      <c r="U456" s="3"/>
    </row>
    <row r="457">
      <c r="A457" s="3"/>
      <c r="B457" s="3"/>
      <c r="C457" s="3"/>
      <c r="D457" s="3"/>
      <c r="E457" s="4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4"/>
      <c r="R457" s="3"/>
      <c r="S457" s="3"/>
      <c r="T457" s="3"/>
      <c r="U457" s="3"/>
    </row>
    <row r="458">
      <c r="A458" s="3"/>
      <c r="B458" s="3"/>
      <c r="C458" s="3"/>
      <c r="D458" s="3"/>
      <c r="E458" s="4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4"/>
      <c r="R458" s="3"/>
      <c r="S458" s="3"/>
      <c r="T458" s="3"/>
      <c r="U458" s="3"/>
    </row>
    <row r="459">
      <c r="A459" s="3"/>
      <c r="B459" s="3"/>
      <c r="C459" s="3"/>
      <c r="D459" s="3"/>
      <c r="E459" s="4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4"/>
      <c r="R459" s="3"/>
      <c r="S459" s="3"/>
      <c r="T459" s="3"/>
      <c r="U459" s="3"/>
    </row>
    <row r="460">
      <c r="A460" s="3"/>
      <c r="B460" s="3"/>
      <c r="C460" s="3"/>
      <c r="D460" s="3"/>
      <c r="E460" s="4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4"/>
      <c r="R460" s="3"/>
      <c r="S460" s="3"/>
      <c r="T460" s="3"/>
      <c r="U460" s="3"/>
    </row>
    <row r="461">
      <c r="A461" s="3"/>
      <c r="B461" s="3"/>
      <c r="C461" s="3"/>
      <c r="D461" s="3"/>
      <c r="E461" s="4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4"/>
      <c r="R461" s="3"/>
      <c r="S461" s="3"/>
      <c r="T461" s="3"/>
      <c r="U461" s="3"/>
    </row>
    <row r="462">
      <c r="A462" s="3"/>
      <c r="B462" s="3"/>
      <c r="C462" s="3"/>
      <c r="D462" s="3"/>
      <c r="E462" s="4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4"/>
      <c r="R462" s="3"/>
      <c r="S462" s="3"/>
      <c r="T462" s="3"/>
      <c r="U462" s="3"/>
    </row>
    <row r="463">
      <c r="A463" s="3"/>
      <c r="B463" s="3"/>
      <c r="C463" s="3"/>
      <c r="D463" s="3"/>
      <c r="E463" s="4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4"/>
      <c r="R463" s="3"/>
      <c r="S463" s="3"/>
      <c r="T463" s="3"/>
      <c r="U463" s="3"/>
    </row>
    <row r="464">
      <c r="A464" s="3"/>
      <c r="B464" s="3"/>
      <c r="C464" s="3"/>
      <c r="D464" s="3"/>
      <c r="E464" s="4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4"/>
      <c r="R464" s="3"/>
      <c r="S464" s="3"/>
      <c r="T464" s="3"/>
      <c r="U464" s="3"/>
    </row>
    <row r="465">
      <c r="A465" s="3"/>
      <c r="B465" s="3"/>
      <c r="C465" s="3"/>
      <c r="D465" s="3"/>
      <c r="E465" s="4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4"/>
      <c r="R465" s="3"/>
      <c r="S465" s="3"/>
      <c r="T465" s="3"/>
      <c r="U465" s="3"/>
    </row>
    <row r="466">
      <c r="A466" s="3"/>
      <c r="B466" s="3"/>
      <c r="C466" s="3"/>
      <c r="D466" s="3"/>
      <c r="E466" s="4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4"/>
      <c r="R466" s="3"/>
      <c r="S466" s="3"/>
      <c r="T466" s="3"/>
      <c r="U466" s="3"/>
    </row>
    <row r="467">
      <c r="A467" s="3"/>
      <c r="B467" s="3"/>
      <c r="C467" s="3"/>
      <c r="D467" s="3"/>
      <c r="E467" s="4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4"/>
      <c r="R467" s="3"/>
      <c r="S467" s="3"/>
      <c r="T467" s="3"/>
      <c r="U467" s="3"/>
    </row>
    <row r="468">
      <c r="A468" s="3"/>
      <c r="B468" s="3"/>
      <c r="C468" s="3"/>
      <c r="D468" s="3"/>
      <c r="E468" s="4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4"/>
      <c r="R468" s="3"/>
      <c r="S468" s="3"/>
      <c r="T468" s="3"/>
      <c r="U468" s="3"/>
    </row>
    <row r="469">
      <c r="A469" s="3"/>
      <c r="B469" s="3"/>
      <c r="C469" s="3"/>
      <c r="D469" s="3"/>
      <c r="E469" s="4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4"/>
      <c r="R469" s="3"/>
      <c r="S469" s="3"/>
      <c r="T469" s="3"/>
      <c r="U469" s="3"/>
    </row>
    <row r="470">
      <c r="A470" s="3"/>
      <c r="B470" s="3"/>
      <c r="C470" s="3"/>
      <c r="D470" s="3"/>
      <c r="E470" s="4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4"/>
      <c r="R470" s="3"/>
      <c r="S470" s="3"/>
      <c r="T470" s="3"/>
      <c r="U470" s="3"/>
    </row>
    <row r="471">
      <c r="A471" s="3"/>
      <c r="B471" s="3"/>
      <c r="C471" s="3"/>
      <c r="D471" s="3"/>
      <c r="E471" s="4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4"/>
      <c r="R471" s="3"/>
      <c r="S471" s="3"/>
      <c r="T471" s="3"/>
      <c r="U471" s="3"/>
    </row>
    <row r="472">
      <c r="A472" s="3"/>
      <c r="B472" s="3"/>
      <c r="C472" s="3"/>
      <c r="D472" s="3"/>
      <c r="E472" s="4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4"/>
      <c r="R472" s="3"/>
      <c r="S472" s="3"/>
      <c r="T472" s="3"/>
      <c r="U472" s="3"/>
    </row>
    <row r="473">
      <c r="A473" s="3"/>
      <c r="B473" s="3"/>
      <c r="C473" s="3"/>
      <c r="D473" s="3"/>
      <c r="E473" s="4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4"/>
      <c r="R473" s="3"/>
      <c r="S473" s="3"/>
      <c r="T473" s="3"/>
      <c r="U473" s="3"/>
    </row>
    <row r="474">
      <c r="A474" s="3"/>
      <c r="B474" s="3"/>
      <c r="C474" s="3"/>
      <c r="D474" s="3"/>
      <c r="E474" s="4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4"/>
      <c r="R474" s="3"/>
      <c r="S474" s="3"/>
      <c r="T474" s="3"/>
      <c r="U474" s="3"/>
    </row>
    <row r="475">
      <c r="A475" s="3"/>
      <c r="B475" s="3"/>
      <c r="C475" s="3"/>
      <c r="D475" s="3"/>
      <c r="E475" s="4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4"/>
      <c r="R475" s="3"/>
      <c r="S475" s="3"/>
      <c r="T475" s="3"/>
      <c r="U475" s="3"/>
    </row>
    <row r="476">
      <c r="A476" s="3"/>
      <c r="B476" s="3"/>
      <c r="C476" s="3"/>
      <c r="D476" s="3"/>
      <c r="E476" s="4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4"/>
      <c r="R476" s="3"/>
      <c r="S476" s="3"/>
      <c r="T476" s="3"/>
      <c r="U476" s="3"/>
    </row>
    <row r="477">
      <c r="A477" s="3"/>
      <c r="B477" s="3"/>
      <c r="C477" s="3"/>
      <c r="D477" s="3"/>
      <c r="E477" s="4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4"/>
      <c r="R477" s="3"/>
      <c r="S477" s="3"/>
      <c r="T477" s="3"/>
      <c r="U477" s="3"/>
    </row>
    <row r="478">
      <c r="A478" s="3"/>
      <c r="B478" s="3"/>
      <c r="C478" s="3"/>
      <c r="D478" s="3"/>
      <c r="E478" s="4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4"/>
      <c r="R478" s="3"/>
      <c r="S478" s="3"/>
      <c r="T478" s="3"/>
      <c r="U478" s="3"/>
    </row>
    <row r="479">
      <c r="A479" s="3"/>
      <c r="B479" s="3"/>
      <c r="C479" s="3"/>
      <c r="D479" s="3"/>
      <c r="E479" s="4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4"/>
      <c r="R479" s="3"/>
      <c r="S479" s="3"/>
      <c r="T479" s="3"/>
      <c r="U479" s="3"/>
    </row>
    <row r="480">
      <c r="A480" s="3"/>
      <c r="B480" s="3"/>
      <c r="C480" s="3"/>
      <c r="D480" s="3"/>
      <c r="E480" s="4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4"/>
      <c r="R480" s="3"/>
      <c r="S480" s="3"/>
      <c r="T480" s="3"/>
      <c r="U480" s="3"/>
    </row>
    <row r="481">
      <c r="A481" s="3"/>
      <c r="B481" s="3"/>
      <c r="C481" s="3"/>
      <c r="D481" s="3"/>
      <c r="E481" s="4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4"/>
      <c r="R481" s="3"/>
      <c r="S481" s="3"/>
      <c r="T481" s="3"/>
      <c r="U481" s="3"/>
    </row>
    <row r="482">
      <c r="A482" s="3"/>
      <c r="B482" s="3"/>
      <c r="C482" s="3"/>
      <c r="D482" s="3"/>
      <c r="E482" s="4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4"/>
      <c r="R482" s="3"/>
      <c r="S482" s="3"/>
      <c r="T482" s="3"/>
      <c r="U482" s="3"/>
    </row>
    <row r="483">
      <c r="A483" s="3"/>
      <c r="B483" s="3"/>
      <c r="C483" s="3"/>
      <c r="D483" s="3"/>
      <c r="E483" s="4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4"/>
      <c r="R483" s="3"/>
      <c r="S483" s="3"/>
      <c r="T483" s="3"/>
      <c r="U483" s="3"/>
    </row>
    <row r="484">
      <c r="A484" s="3"/>
      <c r="B484" s="3"/>
      <c r="C484" s="3"/>
      <c r="D484" s="3"/>
      <c r="E484" s="4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4"/>
      <c r="R484" s="3"/>
      <c r="S484" s="3"/>
      <c r="T484" s="3"/>
      <c r="U484" s="3"/>
    </row>
    <row r="485">
      <c r="A485" s="3"/>
      <c r="B485" s="3"/>
      <c r="C485" s="3"/>
      <c r="D485" s="3"/>
      <c r="E485" s="4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4"/>
      <c r="R485" s="3"/>
      <c r="S485" s="3"/>
      <c r="T485" s="3"/>
      <c r="U485" s="3"/>
    </row>
    <row r="486">
      <c r="A486" s="3"/>
      <c r="B486" s="3"/>
      <c r="C486" s="3"/>
      <c r="D486" s="3"/>
      <c r="E486" s="4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4"/>
      <c r="R486" s="3"/>
      <c r="S486" s="3"/>
      <c r="T486" s="3"/>
      <c r="U486" s="3"/>
    </row>
    <row r="487">
      <c r="A487" s="3"/>
      <c r="B487" s="3"/>
      <c r="C487" s="3"/>
      <c r="D487" s="3"/>
      <c r="E487" s="4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4"/>
      <c r="R487" s="3"/>
      <c r="S487" s="3"/>
      <c r="T487" s="3"/>
      <c r="U487" s="3"/>
    </row>
    <row r="488">
      <c r="A488" s="3"/>
      <c r="B488" s="3"/>
      <c r="C488" s="3"/>
      <c r="D488" s="3"/>
      <c r="E488" s="4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4"/>
      <c r="R488" s="3"/>
      <c r="S488" s="3"/>
      <c r="T488" s="3"/>
      <c r="U488" s="3"/>
    </row>
    <row r="489">
      <c r="A489" s="3"/>
      <c r="B489" s="3"/>
      <c r="C489" s="3"/>
      <c r="D489" s="3"/>
      <c r="E489" s="4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4"/>
      <c r="R489" s="3"/>
      <c r="S489" s="3"/>
      <c r="T489" s="3"/>
      <c r="U489" s="3"/>
    </row>
    <row r="490">
      <c r="A490" s="3"/>
      <c r="B490" s="3"/>
      <c r="C490" s="3"/>
      <c r="D490" s="3"/>
      <c r="E490" s="4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4"/>
      <c r="R490" s="3"/>
      <c r="S490" s="3"/>
      <c r="T490" s="3"/>
      <c r="U490" s="3"/>
    </row>
    <row r="491">
      <c r="A491" s="3"/>
      <c r="B491" s="3"/>
      <c r="C491" s="3"/>
      <c r="D491" s="3"/>
      <c r="E491" s="4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4"/>
      <c r="R491" s="3"/>
      <c r="S491" s="3"/>
      <c r="T491" s="3"/>
      <c r="U491" s="3"/>
    </row>
    <row r="492">
      <c r="A492" s="3"/>
      <c r="B492" s="3"/>
      <c r="C492" s="3"/>
      <c r="D492" s="3"/>
      <c r="E492" s="4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4"/>
      <c r="R492" s="3"/>
      <c r="S492" s="3"/>
      <c r="T492" s="3"/>
      <c r="U492" s="3"/>
    </row>
    <row r="493">
      <c r="A493" s="3"/>
      <c r="B493" s="3"/>
      <c r="C493" s="3"/>
      <c r="D493" s="3"/>
      <c r="E493" s="4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4"/>
      <c r="R493" s="3"/>
      <c r="S493" s="3"/>
      <c r="T493" s="3"/>
      <c r="U493" s="3"/>
    </row>
    <row r="494">
      <c r="A494" s="3"/>
      <c r="B494" s="3"/>
      <c r="C494" s="3"/>
      <c r="D494" s="3"/>
      <c r="E494" s="4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4"/>
      <c r="R494" s="3"/>
      <c r="S494" s="3"/>
      <c r="T494" s="3"/>
      <c r="U494" s="3"/>
    </row>
    <row r="495">
      <c r="A495" s="3"/>
      <c r="B495" s="3"/>
      <c r="C495" s="3"/>
      <c r="D495" s="3"/>
      <c r="E495" s="4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4"/>
      <c r="R495" s="3"/>
      <c r="S495" s="3"/>
      <c r="T495" s="3"/>
      <c r="U495" s="3"/>
    </row>
    <row r="496">
      <c r="A496" s="3"/>
      <c r="B496" s="3"/>
      <c r="C496" s="3"/>
      <c r="D496" s="3"/>
      <c r="E496" s="4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4"/>
      <c r="R496" s="3"/>
      <c r="S496" s="3"/>
      <c r="T496" s="3"/>
      <c r="U496" s="3"/>
    </row>
    <row r="497">
      <c r="A497" s="3"/>
      <c r="B497" s="3"/>
      <c r="C497" s="3"/>
      <c r="D497" s="3"/>
      <c r="E497" s="4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4"/>
      <c r="R497" s="3"/>
      <c r="S497" s="3"/>
      <c r="T497" s="3"/>
      <c r="U497" s="3"/>
    </row>
    <row r="498">
      <c r="A498" s="3"/>
      <c r="B498" s="3"/>
      <c r="C498" s="3"/>
      <c r="D498" s="3"/>
      <c r="E498" s="4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4"/>
      <c r="R498" s="3"/>
      <c r="S498" s="3"/>
      <c r="T498" s="3"/>
      <c r="U498" s="3"/>
    </row>
    <row r="499">
      <c r="A499" s="3"/>
      <c r="B499" s="3"/>
      <c r="C499" s="3"/>
      <c r="D499" s="3"/>
      <c r="E499" s="4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4"/>
      <c r="R499" s="3"/>
      <c r="S499" s="3"/>
      <c r="T499" s="3"/>
      <c r="U499" s="3"/>
    </row>
    <row r="500">
      <c r="A500" s="3"/>
      <c r="B500" s="3"/>
      <c r="C500" s="3"/>
      <c r="D500" s="3"/>
      <c r="E500" s="4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4"/>
      <c r="R500" s="3"/>
      <c r="S500" s="3"/>
      <c r="T500" s="3"/>
      <c r="U500" s="3"/>
    </row>
    <row r="501">
      <c r="A501" s="3"/>
      <c r="B501" s="3"/>
      <c r="C501" s="3"/>
      <c r="D501" s="3"/>
      <c r="E501" s="4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4"/>
      <c r="R501" s="3"/>
      <c r="S501" s="3"/>
      <c r="T501" s="3"/>
      <c r="U501" s="3"/>
    </row>
    <row r="502">
      <c r="A502" s="3"/>
      <c r="B502" s="3"/>
      <c r="C502" s="3"/>
      <c r="D502" s="3"/>
      <c r="E502" s="4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4"/>
      <c r="R502" s="3"/>
      <c r="S502" s="3"/>
      <c r="T502" s="3"/>
      <c r="U502" s="3"/>
    </row>
    <row r="503">
      <c r="A503" s="3"/>
      <c r="B503" s="3"/>
      <c r="C503" s="3"/>
      <c r="D503" s="3"/>
      <c r="E503" s="4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4"/>
      <c r="R503" s="3"/>
      <c r="S503" s="3"/>
      <c r="T503" s="3"/>
      <c r="U503" s="3"/>
    </row>
    <row r="504">
      <c r="A504" s="3"/>
      <c r="B504" s="3"/>
      <c r="C504" s="3"/>
      <c r="D504" s="3"/>
      <c r="E504" s="4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4"/>
      <c r="R504" s="3"/>
      <c r="S504" s="3"/>
      <c r="T504" s="3"/>
      <c r="U504" s="3"/>
    </row>
    <row r="505">
      <c r="A505" s="3"/>
      <c r="B505" s="3"/>
      <c r="C505" s="3"/>
      <c r="D505" s="3"/>
      <c r="E505" s="4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4"/>
      <c r="R505" s="3"/>
      <c r="S505" s="3"/>
      <c r="T505" s="3"/>
      <c r="U505" s="3"/>
    </row>
    <row r="506">
      <c r="A506" s="3"/>
      <c r="B506" s="3"/>
      <c r="C506" s="3"/>
      <c r="D506" s="3"/>
      <c r="E506" s="4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4"/>
      <c r="R506" s="3"/>
      <c r="S506" s="3"/>
      <c r="T506" s="3"/>
      <c r="U506" s="3"/>
    </row>
    <row r="507">
      <c r="A507" s="3"/>
      <c r="B507" s="3"/>
      <c r="C507" s="3"/>
      <c r="D507" s="3"/>
      <c r="E507" s="4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4"/>
      <c r="R507" s="3"/>
      <c r="S507" s="3"/>
      <c r="T507" s="3"/>
      <c r="U507" s="3"/>
    </row>
    <row r="508">
      <c r="A508" s="3"/>
      <c r="B508" s="3"/>
      <c r="C508" s="3"/>
      <c r="D508" s="3"/>
      <c r="E508" s="4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4"/>
      <c r="R508" s="3"/>
      <c r="S508" s="3"/>
      <c r="T508" s="3"/>
      <c r="U508" s="3"/>
    </row>
    <row r="509">
      <c r="A509" s="3"/>
      <c r="B509" s="3"/>
      <c r="C509" s="3"/>
      <c r="D509" s="3"/>
      <c r="E509" s="4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4"/>
      <c r="R509" s="3"/>
      <c r="S509" s="3"/>
      <c r="T509" s="3"/>
      <c r="U509" s="3"/>
    </row>
    <row r="510">
      <c r="A510" s="3"/>
      <c r="B510" s="3"/>
      <c r="C510" s="3"/>
      <c r="D510" s="3"/>
      <c r="E510" s="4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4"/>
      <c r="R510" s="3"/>
      <c r="S510" s="3"/>
      <c r="T510" s="3"/>
      <c r="U510" s="3"/>
    </row>
    <row r="511">
      <c r="A511" s="3"/>
      <c r="B511" s="3"/>
      <c r="C511" s="3"/>
      <c r="D511" s="3"/>
      <c r="E511" s="4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4"/>
      <c r="R511" s="3"/>
      <c r="S511" s="3"/>
      <c r="T511" s="3"/>
      <c r="U511" s="3"/>
    </row>
    <row r="512">
      <c r="A512" s="3"/>
      <c r="B512" s="3"/>
      <c r="C512" s="3"/>
      <c r="D512" s="3"/>
      <c r="E512" s="4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4"/>
      <c r="R512" s="3"/>
      <c r="S512" s="3"/>
      <c r="T512" s="3"/>
      <c r="U512" s="3"/>
    </row>
    <row r="513">
      <c r="A513" s="3"/>
      <c r="B513" s="3"/>
      <c r="C513" s="3"/>
      <c r="D513" s="3"/>
      <c r="E513" s="4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4"/>
      <c r="R513" s="3"/>
      <c r="S513" s="3"/>
      <c r="T513" s="3"/>
      <c r="U513" s="3"/>
    </row>
    <row r="514">
      <c r="A514" s="3"/>
      <c r="B514" s="3"/>
      <c r="C514" s="3"/>
      <c r="D514" s="3"/>
      <c r="E514" s="4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4"/>
      <c r="R514" s="3"/>
      <c r="S514" s="3"/>
      <c r="T514" s="3"/>
      <c r="U514" s="3"/>
    </row>
    <row r="515">
      <c r="A515" s="3"/>
      <c r="B515" s="3"/>
      <c r="C515" s="3"/>
      <c r="D515" s="3"/>
      <c r="E515" s="4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4"/>
      <c r="R515" s="3"/>
      <c r="S515" s="3"/>
      <c r="T515" s="3"/>
      <c r="U515" s="3"/>
    </row>
    <row r="516">
      <c r="A516" s="3"/>
      <c r="B516" s="3"/>
      <c r="C516" s="3"/>
      <c r="D516" s="3"/>
      <c r="E516" s="4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4"/>
      <c r="R516" s="3"/>
      <c r="S516" s="3"/>
      <c r="T516" s="3"/>
      <c r="U516" s="3"/>
    </row>
    <row r="517">
      <c r="A517" s="3"/>
      <c r="B517" s="3"/>
      <c r="C517" s="3"/>
      <c r="D517" s="3"/>
      <c r="E517" s="4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4"/>
      <c r="R517" s="3"/>
      <c r="S517" s="3"/>
      <c r="T517" s="3"/>
      <c r="U517" s="3"/>
    </row>
    <row r="518">
      <c r="A518" s="3"/>
      <c r="B518" s="3"/>
      <c r="C518" s="3"/>
      <c r="D518" s="3"/>
      <c r="E518" s="4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4"/>
      <c r="R518" s="3"/>
      <c r="S518" s="3"/>
      <c r="T518" s="3"/>
      <c r="U518" s="3"/>
    </row>
    <row r="519">
      <c r="A519" s="3"/>
      <c r="B519" s="3"/>
      <c r="C519" s="3"/>
      <c r="D519" s="3"/>
      <c r="E519" s="4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4"/>
      <c r="R519" s="3"/>
      <c r="S519" s="3"/>
      <c r="T519" s="3"/>
      <c r="U519" s="3"/>
    </row>
    <row r="520">
      <c r="A520" s="3"/>
      <c r="B520" s="3"/>
      <c r="C520" s="3"/>
      <c r="D520" s="3"/>
      <c r="E520" s="4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4"/>
      <c r="R520" s="3"/>
      <c r="S520" s="3"/>
      <c r="T520" s="3"/>
      <c r="U520" s="3"/>
    </row>
    <row r="521">
      <c r="A521" s="3"/>
      <c r="B521" s="3"/>
      <c r="C521" s="3"/>
      <c r="D521" s="3"/>
      <c r="E521" s="4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4"/>
      <c r="R521" s="3"/>
      <c r="S521" s="3"/>
      <c r="T521" s="3"/>
      <c r="U521" s="3"/>
    </row>
    <row r="522">
      <c r="A522" s="3"/>
      <c r="B522" s="3"/>
      <c r="C522" s="3"/>
      <c r="D522" s="3"/>
      <c r="E522" s="4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4"/>
      <c r="R522" s="3"/>
      <c r="S522" s="3"/>
      <c r="T522" s="3"/>
      <c r="U522" s="3"/>
    </row>
    <row r="523">
      <c r="A523" s="3"/>
      <c r="B523" s="3"/>
      <c r="C523" s="3"/>
      <c r="D523" s="3"/>
      <c r="E523" s="4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4"/>
      <c r="R523" s="3"/>
      <c r="S523" s="3"/>
      <c r="T523" s="3"/>
      <c r="U523" s="3"/>
    </row>
    <row r="524">
      <c r="A524" s="3"/>
      <c r="B524" s="3"/>
      <c r="C524" s="3"/>
      <c r="D524" s="3"/>
      <c r="E524" s="4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4"/>
      <c r="R524" s="3"/>
      <c r="S524" s="3"/>
      <c r="T524" s="3"/>
      <c r="U524" s="3"/>
    </row>
    <row r="525">
      <c r="A525" s="3"/>
      <c r="B525" s="3"/>
      <c r="C525" s="3"/>
      <c r="D525" s="3"/>
      <c r="E525" s="4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4"/>
      <c r="R525" s="3"/>
      <c r="S525" s="3"/>
      <c r="T525" s="3"/>
      <c r="U525" s="3"/>
    </row>
    <row r="526">
      <c r="A526" s="3"/>
      <c r="B526" s="3"/>
      <c r="C526" s="3"/>
      <c r="D526" s="3"/>
      <c r="E526" s="4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4"/>
      <c r="R526" s="3"/>
      <c r="S526" s="3"/>
      <c r="T526" s="3"/>
      <c r="U526" s="3"/>
    </row>
    <row r="527">
      <c r="A527" s="3"/>
      <c r="B527" s="3"/>
      <c r="C527" s="3"/>
      <c r="D527" s="3"/>
      <c r="E527" s="4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4"/>
      <c r="R527" s="3"/>
      <c r="S527" s="3"/>
      <c r="T527" s="3"/>
      <c r="U527" s="3"/>
    </row>
    <row r="528">
      <c r="A528" s="3"/>
      <c r="B528" s="3"/>
      <c r="C528" s="3"/>
      <c r="D528" s="3"/>
      <c r="E528" s="4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4"/>
      <c r="R528" s="3"/>
      <c r="S528" s="3"/>
      <c r="T528" s="3"/>
      <c r="U528" s="3"/>
    </row>
    <row r="529">
      <c r="A529" s="3"/>
      <c r="B529" s="3"/>
      <c r="C529" s="3"/>
      <c r="D529" s="3"/>
      <c r="E529" s="4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4"/>
      <c r="R529" s="3"/>
      <c r="S529" s="3"/>
      <c r="T529" s="3"/>
      <c r="U529" s="3"/>
    </row>
    <row r="530">
      <c r="A530" s="3"/>
      <c r="B530" s="3"/>
      <c r="C530" s="3"/>
      <c r="D530" s="3"/>
      <c r="E530" s="4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4"/>
      <c r="R530" s="3"/>
      <c r="S530" s="3"/>
      <c r="T530" s="3"/>
      <c r="U530" s="3"/>
    </row>
    <row r="531">
      <c r="A531" s="3"/>
      <c r="B531" s="3"/>
      <c r="C531" s="3"/>
      <c r="D531" s="3"/>
      <c r="E531" s="4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4"/>
      <c r="R531" s="3"/>
      <c r="S531" s="3"/>
      <c r="T531" s="3"/>
      <c r="U531" s="3"/>
    </row>
    <row r="532">
      <c r="A532" s="3"/>
      <c r="B532" s="3"/>
      <c r="C532" s="3"/>
      <c r="D532" s="3"/>
      <c r="E532" s="4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4"/>
      <c r="R532" s="3"/>
      <c r="S532" s="3"/>
      <c r="T532" s="3"/>
      <c r="U532" s="3"/>
    </row>
    <row r="533">
      <c r="A533" s="3"/>
      <c r="B533" s="3"/>
      <c r="C533" s="3"/>
      <c r="D533" s="3"/>
      <c r="E533" s="4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4"/>
      <c r="R533" s="3"/>
      <c r="S533" s="3"/>
      <c r="T533" s="3"/>
      <c r="U533" s="3"/>
    </row>
    <row r="534">
      <c r="A534" s="3"/>
      <c r="B534" s="3"/>
      <c r="C534" s="3"/>
      <c r="D534" s="3"/>
      <c r="E534" s="4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4"/>
      <c r="R534" s="3"/>
      <c r="S534" s="3"/>
      <c r="T534" s="3"/>
      <c r="U534" s="3"/>
    </row>
    <row r="535">
      <c r="A535" s="3"/>
      <c r="B535" s="3"/>
      <c r="C535" s="3"/>
      <c r="D535" s="3"/>
      <c r="E535" s="4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4"/>
      <c r="R535" s="3"/>
      <c r="S535" s="3"/>
      <c r="T535" s="3"/>
      <c r="U535" s="3"/>
    </row>
    <row r="536">
      <c r="A536" s="3"/>
      <c r="B536" s="3"/>
      <c r="C536" s="3"/>
      <c r="D536" s="3"/>
      <c r="E536" s="4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4"/>
      <c r="R536" s="3"/>
      <c r="S536" s="3"/>
      <c r="T536" s="3"/>
      <c r="U536" s="3"/>
    </row>
    <row r="537">
      <c r="A537" s="3"/>
      <c r="B537" s="3"/>
      <c r="C537" s="3"/>
      <c r="D537" s="3"/>
      <c r="E537" s="4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4"/>
      <c r="R537" s="3"/>
      <c r="S537" s="3"/>
      <c r="T537" s="3"/>
      <c r="U537" s="3"/>
    </row>
    <row r="538">
      <c r="A538" s="3"/>
      <c r="B538" s="3"/>
      <c r="C538" s="3"/>
      <c r="D538" s="3"/>
      <c r="E538" s="4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4"/>
      <c r="R538" s="3"/>
      <c r="S538" s="3"/>
      <c r="T538" s="3"/>
      <c r="U538" s="3"/>
    </row>
    <row r="539">
      <c r="A539" s="3"/>
      <c r="B539" s="3"/>
      <c r="C539" s="3"/>
      <c r="D539" s="3"/>
      <c r="E539" s="4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4"/>
      <c r="R539" s="3"/>
      <c r="S539" s="3"/>
      <c r="T539" s="3"/>
      <c r="U539" s="3"/>
    </row>
    <row r="540">
      <c r="A540" s="3"/>
      <c r="B540" s="3"/>
      <c r="C540" s="3"/>
      <c r="D540" s="3"/>
      <c r="E540" s="4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4"/>
      <c r="R540" s="3"/>
      <c r="S540" s="3"/>
      <c r="T540" s="3"/>
      <c r="U540" s="3"/>
    </row>
    <row r="541">
      <c r="A541" s="3"/>
      <c r="B541" s="3"/>
      <c r="C541" s="3"/>
      <c r="D541" s="3"/>
      <c r="E541" s="4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4"/>
      <c r="R541" s="3"/>
      <c r="S541" s="3"/>
      <c r="T541" s="3"/>
      <c r="U541" s="3"/>
    </row>
    <row r="542">
      <c r="A542" s="3"/>
      <c r="B542" s="3"/>
      <c r="C542" s="3"/>
      <c r="D542" s="3"/>
      <c r="E542" s="4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4"/>
      <c r="R542" s="3"/>
      <c r="S542" s="3"/>
      <c r="T542" s="3"/>
      <c r="U542" s="3"/>
    </row>
    <row r="543">
      <c r="A543" s="3"/>
      <c r="B543" s="3"/>
      <c r="C543" s="3"/>
      <c r="D543" s="3"/>
      <c r="E543" s="4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4"/>
      <c r="R543" s="3"/>
      <c r="S543" s="3"/>
      <c r="T543" s="3"/>
      <c r="U543" s="3"/>
    </row>
    <row r="544">
      <c r="A544" s="3"/>
      <c r="B544" s="3"/>
      <c r="C544" s="3"/>
      <c r="D544" s="3"/>
      <c r="E544" s="4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4"/>
      <c r="R544" s="3"/>
      <c r="S544" s="3"/>
      <c r="T544" s="3"/>
      <c r="U544" s="3"/>
    </row>
    <row r="545">
      <c r="A545" s="3"/>
      <c r="B545" s="3"/>
      <c r="C545" s="3"/>
      <c r="D545" s="3"/>
      <c r="E545" s="4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4"/>
      <c r="R545" s="3"/>
      <c r="S545" s="3"/>
      <c r="T545" s="3"/>
      <c r="U545" s="3"/>
    </row>
    <row r="546">
      <c r="A546" s="3"/>
      <c r="B546" s="3"/>
      <c r="C546" s="3"/>
      <c r="D546" s="3"/>
      <c r="E546" s="4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4"/>
      <c r="R546" s="3"/>
      <c r="S546" s="3"/>
      <c r="T546" s="3"/>
      <c r="U546" s="3"/>
    </row>
    <row r="547">
      <c r="A547" s="3"/>
      <c r="B547" s="3"/>
      <c r="C547" s="3"/>
      <c r="D547" s="3"/>
      <c r="E547" s="4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4"/>
      <c r="R547" s="3"/>
      <c r="S547" s="3"/>
      <c r="T547" s="3"/>
      <c r="U547" s="3"/>
    </row>
    <row r="548">
      <c r="A548" s="3"/>
      <c r="B548" s="3"/>
      <c r="C548" s="3"/>
      <c r="D548" s="3"/>
      <c r="E548" s="4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4"/>
      <c r="R548" s="3"/>
      <c r="S548" s="3"/>
      <c r="T548" s="3"/>
      <c r="U548" s="3"/>
    </row>
    <row r="549">
      <c r="A549" s="3"/>
      <c r="B549" s="3"/>
      <c r="C549" s="3"/>
      <c r="D549" s="3"/>
      <c r="E549" s="4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4"/>
      <c r="R549" s="3"/>
      <c r="S549" s="3"/>
      <c r="T549" s="3"/>
      <c r="U549" s="3"/>
    </row>
    <row r="550">
      <c r="A550" s="3"/>
      <c r="B550" s="3"/>
      <c r="C550" s="3"/>
      <c r="D550" s="3"/>
      <c r="E550" s="4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4"/>
      <c r="R550" s="3"/>
      <c r="S550" s="3"/>
      <c r="T550" s="3"/>
      <c r="U550" s="3"/>
    </row>
    <row r="551">
      <c r="A551" s="3"/>
      <c r="B551" s="3"/>
      <c r="C551" s="3"/>
      <c r="D551" s="3"/>
      <c r="E551" s="4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4"/>
      <c r="R551" s="3"/>
      <c r="S551" s="3"/>
      <c r="T551" s="3"/>
      <c r="U551" s="3"/>
    </row>
    <row r="552">
      <c r="A552" s="3"/>
      <c r="B552" s="3"/>
      <c r="C552" s="3"/>
      <c r="D552" s="3"/>
      <c r="E552" s="4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4"/>
      <c r="R552" s="3"/>
      <c r="S552" s="3"/>
      <c r="T552" s="3"/>
      <c r="U552" s="3"/>
    </row>
    <row r="553">
      <c r="A553" s="3"/>
      <c r="B553" s="3"/>
      <c r="C553" s="3"/>
      <c r="D553" s="3"/>
      <c r="E553" s="4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4"/>
      <c r="R553" s="3"/>
      <c r="S553" s="3"/>
      <c r="T553" s="3"/>
      <c r="U553" s="3"/>
    </row>
    <row r="554">
      <c r="A554" s="3"/>
      <c r="B554" s="3"/>
      <c r="C554" s="3"/>
      <c r="D554" s="3"/>
      <c r="E554" s="4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4"/>
      <c r="R554" s="3"/>
      <c r="S554" s="3"/>
      <c r="T554" s="3"/>
      <c r="U554" s="3"/>
    </row>
    <row r="555">
      <c r="A555" s="3"/>
      <c r="B555" s="3"/>
      <c r="C555" s="3"/>
      <c r="D555" s="3"/>
      <c r="E555" s="4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4"/>
      <c r="R555" s="3"/>
      <c r="S555" s="3"/>
      <c r="T555" s="3"/>
      <c r="U555" s="3"/>
    </row>
    <row r="556">
      <c r="A556" s="3"/>
      <c r="B556" s="3"/>
      <c r="C556" s="3"/>
      <c r="D556" s="3"/>
      <c r="E556" s="4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4"/>
      <c r="R556" s="3"/>
      <c r="S556" s="3"/>
      <c r="T556" s="3"/>
      <c r="U556" s="3"/>
    </row>
    <row r="557">
      <c r="A557" s="3"/>
      <c r="B557" s="3"/>
      <c r="C557" s="3"/>
      <c r="D557" s="3"/>
      <c r="E557" s="4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4"/>
      <c r="R557" s="3"/>
      <c r="S557" s="3"/>
      <c r="T557" s="3"/>
      <c r="U557" s="3"/>
    </row>
    <row r="558">
      <c r="A558" s="3"/>
      <c r="B558" s="3"/>
      <c r="C558" s="3"/>
      <c r="D558" s="3"/>
      <c r="E558" s="4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4"/>
      <c r="R558" s="3"/>
      <c r="S558" s="3"/>
      <c r="T558" s="3"/>
      <c r="U558" s="3"/>
    </row>
    <row r="559">
      <c r="A559" s="3"/>
      <c r="B559" s="3"/>
      <c r="C559" s="3"/>
      <c r="D559" s="3"/>
      <c r="E559" s="4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4"/>
      <c r="R559" s="3"/>
      <c r="S559" s="3"/>
      <c r="T559" s="3"/>
      <c r="U559" s="3"/>
    </row>
    <row r="560">
      <c r="A560" s="3"/>
      <c r="B560" s="3"/>
      <c r="C560" s="3"/>
      <c r="D560" s="3"/>
      <c r="E560" s="4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4"/>
      <c r="R560" s="3"/>
      <c r="S560" s="3"/>
      <c r="T560" s="3"/>
      <c r="U560" s="3"/>
    </row>
    <row r="561">
      <c r="A561" s="3"/>
      <c r="B561" s="3"/>
      <c r="C561" s="3"/>
      <c r="D561" s="3"/>
      <c r="E561" s="4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4"/>
      <c r="R561" s="3"/>
      <c r="S561" s="3"/>
      <c r="T561" s="3"/>
      <c r="U561" s="3"/>
    </row>
    <row r="562">
      <c r="A562" s="3"/>
      <c r="B562" s="3"/>
      <c r="C562" s="3"/>
      <c r="D562" s="3"/>
      <c r="E562" s="4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4"/>
      <c r="R562" s="3"/>
      <c r="S562" s="3"/>
      <c r="T562" s="3"/>
      <c r="U562" s="3"/>
    </row>
    <row r="563">
      <c r="A563" s="3"/>
      <c r="B563" s="3"/>
      <c r="C563" s="3"/>
      <c r="D563" s="3"/>
      <c r="E563" s="4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4"/>
      <c r="R563" s="3"/>
      <c r="S563" s="3"/>
      <c r="T563" s="3"/>
      <c r="U563" s="3"/>
    </row>
    <row r="564">
      <c r="A564" s="3"/>
      <c r="B564" s="3"/>
      <c r="C564" s="3"/>
      <c r="D564" s="3"/>
      <c r="E564" s="4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4"/>
      <c r="R564" s="3"/>
      <c r="S564" s="3"/>
      <c r="T564" s="3"/>
      <c r="U564" s="3"/>
    </row>
    <row r="565">
      <c r="A565" s="3"/>
      <c r="B565" s="3"/>
      <c r="C565" s="3"/>
      <c r="D565" s="3"/>
      <c r="E565" s="4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4"/>
      <c r="R565" s="3"/>
      <c r="S565" s="3"/>
      <c r="T565" s="3"/>
      <c r="U565" s="3"/>
    </row>
    <row r="566">
      <c r="A566" s="3"/>
      <c r="B566" s="3"/>
      <c r="C566" s="3"/>
      <c r="D566" s="3"/>
      <c r="E566" s="4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4"/>
      <c r="R566" s="3"/>
      <c r="S566" s="3"/>
      <c r="T566" s="3"/>
      <c r="U566" s="3"/>
    </row>
    <row r="567">
      <c r="A567" s="3"/>
      <c r="B567" s="3"/>
      <c r="C567" s="3"/>
      <c r="D567" s="3"/>
      <c r="E567" s="4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4"/>
      <c r="R567" s="3"/>
      <c r="S567" s="3"/>
      <c r="T567" s="3"/>
      <c r="U567" s="3"/>
    </row>
    <row r="568">
      <c r="A568" s="3"/>
      <c r="B568" s="3"/>
      <c r="C568" s="3"/>
      <c r="D568" s="3"/>
      <c r="E568" s="4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4"/>
      <c r="R568" s="3"/>
      <c r="S568" s="3"/>
      <c r="T568" s="3"/>
      <c r="U568" s="3"/>
    </row>
    <row r="569">
      <c r="A569" s="3"/>
      <c r="B569" s="3"/>
      <c r="C569" s="3"/>
      <c r="D569" s="3"/>
      <c r="E569" s="4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4"/>
      <c r="R569" s="3"/>
      <c r="S569" s="3"/>
      <c r="T569" s="3"/>
      <c r="U569" s="3"/>
    </row>
    <row r="570">
      <c r="A570" s="3"/>
      <c r="B570" s="3"/>
      <c r="C570" s="3"/>
      <c r="D570" s="3"/>
      <c r="E570" s="4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4"/>
      <c r="R570" s="3"/>
      <c r="S570" s="3"/>
      <c r="T570" s="3"/>
      <c r="U570" s="3"/>
    </row>
    <row r="571">
      <c r="A571" s="3"/>
      <c r="B571" s="3"/>
      <c r="C571" s="3"/>
      <c r="D571" s="3"/>
      <c r="E571" s="4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4"/>
      <c r="R571" s="3"/>
      <c r="S571" s="3"/>
      <c r="T571" s="3"/>
      <c r="U571" s="3"/>
    </row>
    <row r="572">
      <c r="A572" s="3"/>
      <c r="B572" s="3"/>
      <c r="C572" s="3"/>
      <c r="D572" s="3"/>
      <c r="E572" s="4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4"/>
      <c r="R572" s="3"/>
      <c r="S572" s="3"/>
      <c r="T572" s="3"/>
      <c r="U572" s="3"/>
    </row>
    <row r="573">
      <c r="A573" s="3"/>
      <c r="B573" s="3"/>
      <c r="C573" s="3"/>
      <c r="D573" s="3"/>
      <c r="E573" s="4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4"/>
      <c r="R573" s="3"/>
      <c r="S573" s="3"/>
      <c r="T573" s="3"/>
      <c r="U573" s="3"/>
    </row>
    <row r="574">
      <c r="A574" s="3"/>
      <c r="B574" s="3"/>
      <c r="C574" s="3"/>
      <c r="D574" s="3"/>
      <c r="E574" s="4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4"/>
      <c r="R574" s="3"/>
      <c r="S574" s="3"/>
      <c r="T574" s="3"/>
      <c r="U574" s="3"/>
    </row>
    <row r="575">
      <c r="A575" s="3"/>
      <c r="B575" s="3"/>
      <c r="C575" s="3"/>
      <c r="D575" s="3"/>
      <c r="E575" s="4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4"/>
      <c r="R575" s="3"/>
      <c r="S575" s="3"/>
      <c r="T575" s="3"/>
      <c r="U575" s="3"/>
    </row>
    <row r="576">
      <c r="A576" s="3"/>
      <c r="B576" s="3"/>
      <c r="C576" s="3"/>
      <c r="D576" s="3"/>
      <c r="E576" s="4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4"/>
      <c r="R576" s="3"/>
      <c r="S576" s="3"/>
      <c r="T576" s="3"/>
      <c r="U576" s="3"/>
    </row>
    <row r="577">
      <c r="A577" s="3"/>
      <c r="B577" s="3"/>
      <c r="C577" s="3"/>
      <c r="D577" s="3"/>
      <c r="E577" s="4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4"/>
      <c r="R577" s="3"/>
      <c r="S577" s="3"/>
      <c r="T577" s="3"/>
      <c r="U577" s="3"/>
    </row>
    <row r="578">
      <c r="A578" s="3"/>
      <c r="B578" s="3"/>
      <c r="C578" s="3"/>
      <c r="D578" s="3"/>
      <c r="E578" s="4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4"/>
      <c r="R578" s="3"/>
      <c r="S578" s="3"/>
      <c r="T578" s="3"/>
      <c r="U578" s="3"/>
    </row>
    <row r="579">
      <c r="A579" s="3"/>
      <c r="B579" s="3"/>
      <c r="C579" s="3"/>
      <c r="D579" s="3"/>
      <c r="E579" s="4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4"/>
      <c r="R579" s="3"/>
      <c r="S579" s="3"/>
      <c r="T579" s="3"/>
      <c r="U579" s="3"/>
    </row>
    <row r="580">
      <c r="A580" s="3"/>
      <c r="B580" s="3"/>
      <c r="C580" s="3"/>
      <c r="D580" s="3"/>
      <c r="E580" s="4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4"/>
      <c r="R580" s="3"/>
      <c r="S580" s="3"/>
      <c r="T580" s="3"/>
      <c r="U580" s="3"/>
    </row>
    <row r="581">
      <c r="A581" s="3"/>
      <c r="B581" s="3"/>
      <c r="C581" s="3"/>
      <c r="D581" s="3"/>
      <c r="E581" s="4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4"/>
      <c r="R581" s="3"/>
      <c r="S581" s="3"/>
      <c r="T581" s="3"/>
      <c r="U581" s="3"/>
    </row>
    <row r="582">
      <c r="A582" s="3"/>
      <c r="B582" s="3"/>
      <c r="C582" s="3"/>
      <c r="D582" s="3"/>
      <c r="E582" s="4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4"/>
      <c r="R582" s="3"/>
      <c r="S582" s="3"/>
      <c r="T582" s="3"/>
      <c r="U582" s="3"/>
    </row>
    <row r="583">
      <c r="A583" s="3"/>
      <c r="B583" s="3"/>
      <c r="C583" s="3"/>
      <c r="D583" s="3"/>
      <c r="E583" s="4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4"/>
      <c r="R583" s="3"/>
      <c r="S583" s="3"/>
      <c r="T583" s="3"/>
      <c r="U583" s="3"/>
    </row>
    <row r="584">
      <c r="A584" s="3"/>
      <c r="B584" s="3"/>
      <c r="C584" s="3"/>
      <c r="D584" s="3"/>
      <c r="E584" s="4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4"/>
      <c r="R584" s="3"/>
      <c r="S584" s="3"/>
      <c r="T584" s="3"/>
      <c r="U584" s="3"/>
    </row>
    <row r="585">
      <c r="A585" s="3"/>
      <c r="B585" s="3"/>
      <c r="C585" s="3"/>
      <c r="D585" s="3"/>
      <c r="E585" s="4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4"/>
      <c r="R585" s="3"/>
      <c r="S585" s="3"/>
      <c r="T585" s="3"/>
      <c r="U585" s="3"/>
    </row>
    <row r="586">
      <c r="A586" s="3"/>
      <c r="B586" s="3"/>
      <c r="C586" s="3"/>
      <c r="D586" s="3"/>
      <c r="E586" s="4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4"/>
      <c r="R586" s="3"/>
      <c r="S586" s="3"/>
      <c r="T586" s="3"/>
      <c r="U586" s="3"/>
    </row>
    <row r="587">
      <c r="A587" s="3"/>
      <c r="B587" s="3"/>
      <c r="C587" s="3"/>
      <c r="D587" s="3"/>
      <c r="E587" s="4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4"/>
      <c r="R587" s="3"/>
      <c r="S587" s="3"/>
      <c r="T587" s="3"/>
      <c r="U587" s="3"/>
    </row>
    <row r="588">
      <c r="A588" s="3"/>
      <c r="B588" s="3"/>
      <c r="C588" s="3"/>
      <c r="D588" s="3"/>
      <c r="E588" s="4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4"/>
      <c r="R588" s="3"/>
      <c r="S588" s="3"/>
      <c r="T588" s="3"/>
      <c r="U588" s="3"/>
    </row>
    <row r="589">
      <c r="A589" s="3"/>
      <c r="B589" s="3"/>
      <c r="C589" s="3"/>
      <c r="D589" s="3"/>
      <c r="E589" s="4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4"/>
      <c r="R589" s="3"/>
      <c r="S589" s="3"/>
      <c r="T589" s="3"/>
      <c r="U589" s="3"/>
    </row>
    <row r="590">
      <c r="A590" s="3"/>
      <c r="B590" s="3"/>
      <c r="C590" s="3"/>
      <c r="D590" s="3"/>
      <c r="E590" s="4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4"/>
      <c r="R590" s="3"/>
      <c r="S590" s="3"/>
      <c r="T590" s="3"/>
      <c r="U590" s="3"/>
    </row>
    <row r="591">
      <c r="A591" s="3"/>
      <c r="B591" s="3"/>
      <c r="C591" s="3"/>
      <c r="D591" s="3"/>
      <c r="E591" s="4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4"/>
      <c r="R591" s="3"/>
      <c r="S591" s="3"/>
      <c r="T591" s="3"/>
      <c r="U591" s="3"/>
    </row>
    <row r="592">
      <c r="A592" s="3"/>
      <c r="B592" s="3"/>
      <c r="C592" s="3"/>
      <c r="D592" s="3"/>
      <c r="E592" s="4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4"/>
      <c r="R592" s="3"/>
      <c r="S592" s="3"/>
      <c r="T592" s="3"/>
      <c r="U592" s="3"/>
    </row>
    <row r="593">
      <c r="A593" s="3"/>
      <c r="B593" s="3"/>
      <c r="C593" s="3"/>
      <c r="D593" s="3"/>
      <c r="E593" s="4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4"/>
      <c r="R593" s="3"/>
      <c r="S593" s="3"/>
      <c r="T593" s="3"/>
      <c r="U593" s="3"/>
    </row>
    <row r="594">
      <c r="A594" s="3"/>
      <c r="B594" s="3"/>
      <c r="C594" s="3"/>
      <c r="D594" s="3"/>
      <c r="E594" s="4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4"/>
      <c r="R594" s="3"/>
      <c r="S594" s="3"/>
      <c r="T594" s="3"/>
      <c r="U594" s="3"/>
    </row>
    <row r="595">
      <c r="A595" s="3"/>
      <c r="B595" s="3"/>
      <c r="C595" s="3"/>
      <c r="D595" s="3"/>
      <c r="E595" s="4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4"/>
      <c r="R595" s="3"/>
      <c r="S595" s="3"/>
      <c r="T595" s="3"/>
      <c r="U595" s="3"/>
    </row>
    <row r="596">
      <c r="A596" s="3"/>
      <c r="B596" s="3"/>
      <c r="C596" s="3"/>
      <c r="D596" s="3"/>
      <c r="E596" s="4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4"/>
      <c r="R596" s="3"/>
      <c r="S596" s="3"/>
      <c r="T596" s="3"/>
      <c r="U596" s="3"/>
    </row>
    <row r="597">
      <c r="A597" s="3"/>
      <c r="B597" s="3"/>
      <c r="C597" s="3"/>
      <c r="D597" s="3"/>
      <c r="E597" s="4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4"/>
      <c r="R597" s="3"/>
      <c r="S597" s="3"/>
      <c r="T597" s="3"/>
      <c r="U597" s="3"/>
    </row>
    <row r="598">
      <c r="A598" s="3"/>
      <c r="B598" s="3"/>
      <c r="C598" s="3"/>
      <c r="D598" s="3"/>
      <c r="E598" s="4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4"/>
      <c r="R598" s="3"/>
      <c r="S598" s="3"/>
      <c r="T598" s="3"/>
      <c r="U598" s="3"/>
    </row>
    <row r="599">
      <c r="A599" s="3"/>
      <c r="B599" s="3"/>
      <c r="C599" s="3"/>
      <c r="D599" s="3"/>
      <c r="E599" s="4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4"/>
      <c r="R599" s="3"/>
      <c r="S599" s="3"/>
      <c r="T599" s="3"/>
      <c r="U599" s="3"/>
    </row>
    <row r="600">
      <c r="A600" s="3"/>
      <c r="B600" s="3"/>
      <c r="C600" s="3"/>
      <c r="D600" s="3"/>
      <c r="E600" s="4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4"/>
      <c r="R600" s="3"/>
      <c r="S600" s="3"/>
      <c r="T600" s="3"/>
      <c r="U600" s="3"/>
    </row>
    <row r="601">
      <c r="A601" s="3"/>
      <c r="B601" s="3"/>
      <c r="C601" s="3"/>
      <c r="D601" s="3"/>
      <c r="E601" s="4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4"/>
      <c r="R601" s="3"/>
      <c r="S601" s="3"/>
      <c r="T601" s="3"/>
      <c r="U601" s="3"/>
    </row>
    <row r="602">
      <c r="A602" s="3"/>
      <c r="B602" s="3"/>
      <c r="C602" s="3"/>
      <c r="D602" s="3"/>
      <c r="E602" s="4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4"/>
      <c r="R602" s="3"/>
      <c r="S602" s="3"/>
      <c r="T602" s="3"/>
      <c r="U602" s="3"/>
    </row>
    <row r="603">
      <c r="A603" s="3"/>
      <c r="B603" s="3"/>
      <c r="C603" s="3"/>
      <c r="D603" s="3"/>
      <c r="E603" s="4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4"/>
      <c r="R603" s="3"/>
      <c r="S603" s="3"/>
      <c r="T603" s="3"/>
      <c r="U603" s="3"/>
    </row>
    <row r="604">
      <c r="A604" s="3"/>
      <c r="B604" s="3"/>
      <c r="C604" s="3"/>
      <c r="D604" s="3"/>
      <c r="E604" s="4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4"/>
      <c r="R604" s="3"/>
      <c r="S604" s="3"/>
      <c r="T604" s="3"/>
      <c r="U604" s="3"/>
    </row>
    <row r="605">
      <c r="A605" s="3"/>
      <c r="B605" s="3"/>
      <c r="C605" s="3"/>
      <c r="D605" s="3"/>
      <c r="E605" s="4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4"/>
      <c r="R605" s="3"/>
      <c r="S605" s="3"/>
      <c r="T605" s="3"/>
      <c r="U605" s="3"/>
    </row>
    <row r="606">
      <c r="A606" s="3"/>
      <c r="B606" s="3"/>
      <c r="C606" s="3"/>
      <c r="D606" s="3"/>
      <c r="E606" s="4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4"/>
      <c r="R606" s="3"/>
      <c r="S606" s="3"/>
      <c r="T606" s="3"/>
      <c r="U606" s="3"/>
    </row>
    <row r="607">
      <c r="A607" s="3"/>
      <c r="B607" s="3"/>
      <c r="C607" s="3"/>
      <c r="D607" s="3"/>
      <c r="E607" s="4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4"/>
      <c r="R607" s="3"/>
      <c r="S607" s="3"/>
      <c r="T607" s="3"/>
      <c r="U607" s="3"/>
    </row>
    <row r="608">
      <c r="A608" s="3"/>
      <c r="B608" s="3"/>
      <c r="C608" s="3"/>
      <c r="D608" s="3"/>
      <c r="E608" s="4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4"/>
      <c r="R608" s="3"/>
      <c r="S608" s="3"/>
      <c r="T608" s="3"/>
      <c r="U608" s="3"/>
    </row>
    <row r="609">
      <c r="A609" s="3"/>
      <c r="B609" s="3"/>
      <c r="C609" s="3"/>
      <c r="D609" s="3"/>
      <c r="E609" s="4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4"/>
      <c r="R609" s="3"/>
      <c r="S609" s="3"/>
      <c r="T609" s="3"/>
      <c r="U609" s="3"/>
    </row>
    <row r="610">
      <c r="A610" s="3"/>
      <c r="B610" s="3"/>
      <c r="C610" s="3"/>
      <c r="D610" s="3"/>
      <c r="E610" s="4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4"/>
      <c r="R610" s="3"/>
      <c r="S610" s="3"/>
      <c r="T610" s="3"/>
      <c r="U610" s="3"/>
    </row>
    <row r="611">
      <c r="A611" s="3"/>
      <c r="B611" s="3"/>
      <c r="C611" s="3"/>
      <c r="D611" s="3"/>
      <c r="E611" s="4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4"/>
      <c r="R611" s="3"/>
      <c r="S611" s="3"/>
      <c r="T611" s="3"/>
      <c r="U611" s="3"/>
    </row>
    <row r="612">
      <c r="A612" s="3"/>
      <c r="B612" s="3"/>
      <c r="C612" s="3"/>
      <c r="D612" s="3"/>
      <c r="E612" s="4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4"/>
      <c r="R612" s="3"/>
      <c r="S612" s="3"/>
      <c r="T612" s="3"/>
      <c r="U612" s="3"/>
    </row>
    <row r="613">
      <c r="A613" s="3"/>
      <c r="B613" s="3"/>
      <c r="C613" s="3"/>
      <c r="D613" s="3"/>
      <c r="E613" s="4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4"/>
      <c r="R613" s="3"/>
      <c r="S613" s="3"/>
      <c r="T613" s="3"/>
      <c r="U613" s="3"/>
    </row>
    <row r="614">
      <c r="A614" s="3"/>
      <c r="B614" s="3"/>
      <c r="C614" s="3"/>
      <c r="D614" s="3"/>
      <c r="E614" s="4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4"/>
      <c r="R614" s="3"/>
      <c r="S614" s="3"/>
      <c r="T614" s="3"/>
      <c r="U614" s="3"/>
    </row>
    <row r="615">
      <c r="A615" s="3"/>
      <c r="B615" s="3"/>
      <c r="C615" s="3"/>
      <c r="D615" s="3"/>
      <c r="E615" s="4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4"/>
      <c r="R615" s="3"/>
      <c r="S615" s="3"/>
      <c r="T615" s="3"/>
      <c r="U615" s="3"/>
    </row>
    <row r="616">
      <c r="A616" s="3"/>
      <c r="B616" s="3"/>
      <c r="C616" s="3"/>
      <c r="D616" s="3"/>
      <c r="E616" s="4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4"/>
      <c r="R616" s="3"/>
      <c r="S616" s="3"/>
      <c r="T616" s="3"/>
      <c r="U616" s="3"/>
    </row>
    <row r="617">
      <c r="A617" s="3"/>
      <c r="B617" s="3"/>
      <c r="C617" s="3"/>
      <c r="D617" s="3"/>
      <c r="E617" s="4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4"/>
      <c r="R617" s="3"/>
      <c r="S617" s="3"/>
      <c r="T617" s="3"/>
      <c r="U617" s="3"/>
    </row>
    <row r="618">
      <c r="A618" s="3"/>
      <c r="B618" s="3"/>
      <c r="C618" s="3"/>
      <c r="D618" s="3"/>
      <c r="E618" s="4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4"/>
      <c r="R618" s="3"/>
      <c r="S618" s="3"/>
      <c r="T618" s="3"/>
      <c r="U618" s="3"/>
    </row>
    <row r="619">
      <c r="A619" s="3"/>
      <c r="B619" s="3"/>
      <c r="C619" s="3"/>
      <c r="D619" s="3"/>
      <c r="E619" s="4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4"/>
      <c r="R619" s="3"/>
      <c r="S619" s="3"/>
      <c r="T619" s="3"/>
      <c r="U619" s="3"/>
    </row>
    <row r="620">
      <c r="A620" s="3"/>
      <c r="B620" s="3"/>
      <c r="C620" s="3"/>
      <c r="D620" s="3"/>
      <c r="E620" s="4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4"/>
      <c r="R620" s="3"/>
      <c r="S620" s="3"/>
      <c r="T620" s="3"/>
      <c r="U620" s="3"/>
    </row>
    <row r="621">
      <c r="A621" s="3"/>
      <c r="B621" s="3"/>
      <c r="C621" s="3"/>
      <c r="D621" s="3"/>
      <c r="E621" s="4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4"/>
      <c r="R621" s="3"/>
      <c r="S621" s="3"/>
      <c r="T621" s="3"/>
      <c r="U621" s="3"/>
    </row>
    <row r="622">
      <c r="A622" s="3"/>
      <c r="B622" s="3"/>
      <c r="C622" s="3"/>
      <c r="D622" s="3"/>
      <c r="E622" s="4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4"/>
      <c r="R622" s="3"/>
      <c r="S622" s="3"/>
      <c r="T622" s="3"/>
      <c r="U622" s="3"/>
    </row>
    <row r="623">
      <c r="A623" s="3"/>
      <c r="B623" s="3"/>
      <c r="C623" s="3"/>
      <c r="D623" s="3"/>
      <c r="E623" s="4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4"/>
      <c r="R623" s="3"/>
      <c r="S623" s="3"/>
      <c r="T623" s="3"/>
      <c r="U623" s="3"/>
    </row>
    <row r="624">
      <c r="A624" s="3"/>
      <c r="B624" s="3"/>
      <c r="C624" s="3"/>
      <c r="D624" s="3"/>
      <c r="E624" s="4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4"/>
      <c r="R624" s="3"/>
      <c r="S624" s="3"/>
      <c r="T624" s="3"/>
      <c r="U624" s="3"/>
    </row>
    <row r="625">
      <c r="A625" s="3"/>
      <c r="B625" s="3"/>
      <c r="C625" s="3"/>
      <c r="D625" s="3"/>
      <c r="E625" s="4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4"/>
      <c r="R625" s="3"/>
      <c r="S625" s="3"/>
      <c r="T625" s="3"/>
      <c r="U625" s="3"/>
    </row>
    <row r="626">
      <c r="A626" s="3"/>
      <c r="B626" s="3"/>
      <c r="C626" s="3"/>
      <c r="D626" s="3"/>
      <c r="E626" s="4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4"/>
      <c r="R626" s="3"/>
      <c r="S626" s="3"/>
      <c r="T626" s="3"/>
      <c r="U626" s="3"/>
    </row>
    <row r="627">
      <c r="A627" s="3"/>
      <c r="B627" s="3"/>
      <c r="C627" s="3"/>
      <c r="D627" s="3"/>
      <c r="E627" s="4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4"/>
      <c r="R627" s="3"/>
      <c r="S627" s="3"/>
      <c r="T627" s="3"/>
      <c r="U627" s="3"/>
    </row>
    <row r="628">
      <c r="A628" s="3"/>
      <c r="B628" s="3"/>
      <c r="C628" s="3"/>
      <c r="D628" s="3"/>
      <c r="E628" s="4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4"/>
      <c r="R628" s="3"/>
      <c r="S628" s="3"/>
      <c r="T628" s="3"/>
      <c r="U628" s="3"/>
    </row>
    <row r="629">
      <c r="A629" s="3"/>
      <c r="B629" s="3"/>
      <c r="C629" s="3"/>
      <c r="D629" s="3"/>
      <c r="E629" s="4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4"/>
      <c r="R629" s="3"/>
      <c r="S629" s="3"/>
      <c r="T629" s="3"/>
      <c r="U629" s="3"/>
    </row>
    <row r="630">
      <c r="A630" s="3"/>
      <c r="B630" s="3"/>
      <c r="C630" s="3"/>
      <c r="D630" s="3"/>
      <c r="E630" s="4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4"/>
      <c r="R630" s="3"/>
      <c r="S630" s="3"/>
      <c r="T630" s="3"/>
      <c r="U630" s="3"/>
    </row>
    <row r="631">
      <c r="A631" s="3"/>
      <c r="B631" s="3"/>
      <c r="C631" s="3"/>
      <c r="D631" s="3"/>
      <c r="E631" s="4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4"/>
      <c r="R631" s="3"/>
      <c r="S631" s="3"/>
      <c r="T631" s="3"/>
      <c r="U631" s="3"/>
    </row>
    <row r="632">
      <c r="A632" s="3"/>
      <c r="B632" s="3"/>
      <c r="C632" s="3"/>
      <c r="D632" s="3"/>
      <c r="E632" s="4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4"/>
      <c r="R632" s="3"/>
      <c r="S632" s="3"/>
      <c r="T632" s="3"/>
      <c r="U632" s="3"/>
    </row>
    <row r="633">
      <c r="A633" s="3"/>
      <c r="B633" s="3"/>
      <c r="C633" s="3"/>
      <c r="D633" s="3"/>
      <c r="E633" s="4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4"/>
      <c r="R633" s="3"/>
      <c r="S633" s="3"/>
      <c r="T633" s="3"/>
      <c r="U633" s="3"/>
    </row>
    <row r="634">
      <c r="A634" s="3"/>
      <c r="B634" s="3"/>
      <c r="C634" s="3"/>
      <c r="D634" s="3"/>
      <c r="E634" s="4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4"/>
      <c r="R634" s="3"/>
      <c r="S634" s="3"/>
      <c r="T634" s="3"/>
      <c r="U634" s="3"/>
    </row>
    <row r="635">
      <c r="A635" s="3"/>
      <c r="B635" s="3"/>
      <c r="C635" s="3"/>
      <c r="D635" s="3"/>
      <c r="E635" s="4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4"/>
      <c r="R635" s="3"/>
      <c r="S635" s="3"/>
      <c r="T635" s="3"/>
      <c r="U635" s="3"/>
    </row>
    <row r="636">
      <c r="A636" s="3"/>
      <c r="B636" s="3"/>
      <c r="C636" s="3"/>
      <c r="D636" s="3"/>
      <c r="E636" s="4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4"/>
      <c r="R636" s="3"/>
      <c r="S636" s="3"/>
      <c r="T636" s="3"/>
      <c r="U636" s="3"/>
    </row>
    <row r="637">
      <c r="A637" s="3"/>
      <c r="B637" s="3"/>
      <c r="C637" s="3"/>
      <c r="D637" s="3"/>
      <c r="E637" s="4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4"/>
      <c r="R637" s="3"/>
      <c r="S637" s="3"/>
      <c r="T637" s="3"/>
      <c r="U637" s="3"/>
    </row>
    <row r="638">
      <c r="A638" s="3"/>
      <c r="B638" s="3"/>
      <c r="C638" s="3"/>
      <c r="D638" s="3"/>
      <c r="E638" s="4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4"/>
      <c r="R638" s="3"/>
      <c r="S638" s="3"/>
      <c r="T638" s="3"/>
      <c r="U638" s="3"/>
    </row>
    <row r="639">
      <c r="A639" s="3"/>
      <c r="B639" s="3"/>
      <c r="C639" s="3"/>
      <c r="D639" s="3"/>
      <c r="E639" s="4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4"/>
      <c r="R639" s="3"/>
      <c r="S639" s="3"/>
      <c r="T639" s="3"/>
      <c r="U639" s="3"/>
    </row>
    <row r="640">
      <c r="A640" s="3"/>
      <c r="B640" s="3"/>
      <c r="C640" s="3"/>
      <c r="D640" s="3"/>
      <c r="E640" s="4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4"/>
      <c r="R640" s="3"/>
      <c r="S640" s="3"/>
      <c r="T640" s="3"/>
      <c r="U640" s="3"/>
    </row>
    <row r="641">
      <c r="A641" s="3"/>
      <c r="B641" s="3"/>
      <c r="C641" s="3"/>
      <c r="D641" s="3"/>
      <c r="E641" s="4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4"/>
      <c r="R641" s="3"/>
      <c r="S641" s="3"/>
      <c r="T641" s="3"/>
      <c r="U641" s="3"/>
    </row>
    <row r="642">
      <c r="A642" s="3"/>
      <c r="B642" s="3"/>
      <c r="C642" s="3"/>
      <c r="D642" s="3"/>
      <c r="E642" s="4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4"/>
      <c r="R642" s="3"/>
      <c r="S642" s="3"/>
      <c r="T642" s="3"/>
      <c r="U642" s="3"/>
    </row>
    <row r="643">
      <c r="A643" s="3"/>
      <c r="B643" s="3"/>
      <c r="C643" s="3"/>
      <c r="D643" s="3"/>
      <c r="E643" s="4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4"/>
      <c r="R643" s="3"/>
      <c r="S643" s="3"/>
      <c r="T643" s="3"/>
      <c r="U643" s="3"/>
    </row>
    <row r="644">
      <c r="A644" s="3"/>
      <c r="B644" s="3"/>
      <c r="C644" s="3"/>
      <c r="D644" s="3"/>
      <c r="E644" s="4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4"/>
      <c r="R644" s="3"/>
      <c r="S644" s="3"/>
      <c r="T644" s="3"/>
      <c r="U644" s="3"/>
    </row>
    <row r="645">
      <c r="A645" s="3"/>
      <c r="B645" s="3"/>
      <c r="C645" s="3"/>
      <c r="D645" s="3"/>
      <c r="E645" s="4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4"/>
      <c r="R645" s="3"/>
      <c r="S645" s="3"/>
      <c r="T645" s="3"/>
      <c r="U645" s="3"/>
    </row>
    <row r="646">
      <c r="A646" s="3"/>
      <c r="B646" s="3"/>
      <c r="C646" s="3"/>
      <c r="D646" s="3"/>
      <c r="E646" s="4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4"/>
      <c r="R646" s="3"/>
      <c r="S646" s="3"/>
      <c r="T646" s="3"/>
      <c r="U646" s="3"/>
    </row>
    <row r="647">
      <c r="A647" s="3"/>
      <c r="B647" s="3"/>
      <c r="C647" s="3"/>
      <c r="D647" s="3"/>
      <c r="E647" s="4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4"/>
      <c r="R647" s="3"/>
      <c r="S647" s="3"/>
      <c r="T647" s="3"/>
      <c r="U647" s="3"/>
    </row>
    <row r="648">
      <c r="A648" s="3"/>
      <c r="B648" s="3"/>
      <c r="C648" s="3"/>
      <c r="D648" s="3"/>
      <c r="E648" s="4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4"/>
      <c r="R648" s="3"/>
      <c r="S648" s="3"/>
      <c r="T648" s="3"/>
      <c r="U648" s="3"/>
    </row>
    <row r="649">
      <c r="A649" s="3"/>
      <c r="B649" s="3"/>
      <c r="C649" s="3"/>
      <c r="D649" s="3"/>
      <c r="E649" s="4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4"/>
      <c r="R649" s="3"/>
      <c r="S649" s="3"/>
      <c r="T649" s="3"/>
      <c r="U649" s="3"/>
    </row>
    <row r="650">
      <c r="A650" s="3"/>
      <c r="B650" s="3"/>
      <c r="C650" s="3"/>
      <c r="D650" s="3"/>
      <c r="E650" s="4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4"/>
      <c r="R650" s="3"/>
      <c r="S650" s="3"/>
      <c r="T650" s="3"/>
      <c r="U650" s="3"/>
    </row>
    <row r="651">
      <c r="A651" s="3"/>
      <c r="B651" s="3"/>
      <c r="C651" s="3"/>
      <c r="D651" s="3"/>
      <c r="E651" s="4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4"/>
      <c r="R651" s="3"/>
      <c r="S651" s="3"/>
      <c r="T651" s="3"/>
      <c r="U651" s="3"/>
    </row>
    <row r="652">
      <c r="A652" s="3"/>
      <c r="B652" s="3"/>
      <c r="C652" s="3"/>
      <c r="D652" s="3"/>
      <c r="E652" s="4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4"/>
      <c r="R652" s="3"/>
      <c r="S652" s="3"/>
      <c r="T652" s="3"/>
      <c r="U652" s="3"/>
    </row>
    <row r="653">
      <c r="A653" s="3"/>
      <c r="B653" s="3"/>
      <c r="C653" s="3"/>
      <c r="D653" s="3"/>
      <c r="E653" s="4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4"/>
      <c r="R653" s="3"/>
      <c r="S653" s="3"/>
      <c r="T653" s="3"/>
      <c r="U653" s="3"/>
    </row>
    <row r="654">
      <c r="A654" s="3"/>
      <c r="B654" s="3"/>
      <c r="C654" s="3"/>
      <c r="D654" s="3"/>
      <c r="E654" s="4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4"/>
      <c r="R654" s="3"/>
      <c r="S654" s="3"/>
      <c r="T654" s="3"/>
      <c r="U654" s="3"/>
    </row>
    <row r="655">
      <c r="A655" s="3"/>
      <c r="B655" s="3"/>
      <c r="C655" s="3"/>
      <c r="D655" s="3"/>
      <c r="E655" s="4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4"/>
      <c r="R655" s="3"/>
      <c r="S655" s="3"/>
      <c r="T655" s="3"/>
      <c r="U655" s="3"/>
    </row>
    <row r="656">
      <c r="A656" s="3"/>
      <c r="B656" s="3"/>
      <c r="C656" s="3"/>
      <c r="D656" s="3"/>
      <c r="E656" s="4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4"/>
      <c r="R656" s="3"/>
      <c r="S656" s="3"/>
      <c r="T656" s="3"/>
      <c r="U656" s="3"/>
    </row>
    <row r="657">
      <c r="A657" s="3"/>
      <c r="B657" s="3"/>
      <c r="C657" s="3"/>
      <c r="D657" s="3"/>
      <c r="E657" s="4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4"/>
      <c r="R657" s="3"/>
      <c r="S657" s="3"/>
      <c r="T657" s="3"/>
      <c r="U657" s="3"/>
    </row>
    <row r="658">
      <c r="A658" s="3"/>
      <c r="B658" s="3"/>
      <c r="C658" s="3"/>
      <c r="D658" s="3"/>
      <c r="E658" s="4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4"/>
      <c r="R658" s="3"/>
      <c r="S658" s="3"/>
      <c r="T658" s="3"/>
      <c r="U658" s="3"/>
    </row>
    <row r="659">
      <c r="A659" s="3"/>
      <c r="B659" s="3"/>
      <c r="C659" s="3"/>
      <c r="D659" s="3"/>
      <c r="E659" s="4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4"/>
      <c r="R659" s="3"/>
      <c r="S659" s="3"/>
      <c r="T659" s="3"/>
      <c r="U659" s="3"/>
    </row>
    <row r="660">
      <c r="A660" s="3"/>
      <c r="B660" s="3"/>
      <c r="C660" s="3"/>
      <c r="D660" s="3"/>
      <c r="E660" s="4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4"/>
      <c r="R660" s="3"/>
      <c r="S660" s="3"/>
      <c r="T660" s="3"/>
      <c r="U660" s="3"/>
    </row>
    <row r="661">
      <c r="A661" s="3"/>
      <c r="B661" s="3"/>
      <c r="C661" s="3"/>
      <c r="D661" s="3"/>
      <c r="E661" s="4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4"/>
      <c r="R661" s="3"/>
      <c r="S661" s="3"/>
      <c r="T661" s="3"/>
      <c r="U661" s="3"/>
    </row>
    <row r="662">
      <c r="A662" s="3"/>
      <c r="B662" s="3"/>
      <c r="C662" s="3"/>
      <c r="D662" s="3"/>
      <c r="E662" s="4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4"/>
      <c r="R662" s="3"/>
      <c r="S662" s="3"/>
      <c r="T662" s="3"/>
      <c r="U662" s="3"/>
    </row>
    <row r="663">
      <c r="A663" s="3"/>
      <c r="B663" s="3"/>
      <c r="C663" s="3"/>
      <c r="D663" s="3"/>
      <c r="E663" s="4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4"/>
      <c r="R663" s="3"/>
      <c r="S663" s="3"/>
      <c r="T663" s="3"/>
      <c r="U663" s="3"/>
    </row>
    <row r="664">
      <c r="A664" s="3"/>
      <c r="B664" s="3"/>
      <c r="C664" s="3"/>
      <c r="D664" s="3"/>
      <c r="E664" s="4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4"/>
      <c r="R664" s="3"/>
      <c r="S664" s="3"/>
      <c r="T664" s="3"/>
      <c r="U664" s="3"/>
    </row>
    <row r="665">
      <c r="A665" s="3"/>
      <c r="B665" s="3"/>
      <c r="C665" s="3"/>
      <c r="D665" s="3"/>
      <c r="E665" s="4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4"/>
      <c r="R665" s="3"/>
      <c r="S665" s="3"/>
      <c r="T665" s="3"/>
      <c r="U665" s="3"/>
    </row>
    <row r="666">
      <c r="A666" s="3"/>
      <c r="B666" s="3"/>
      <c r="C666" s="3"/>
      <c r="D666" s="3"/>
      <c r="E666" s="4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4"/>
      <c r="R666" s="3"/>
      <c r="S666" s="3"/>
      <c r="T666" s="3"/>
      <c r="U666" s="3"/>
    </row>
    <row r="667">
      <c r="A667" s="3"/>
      <c r="B667" s="3"/>
      <c r="C667" s="3"/>
      <c r="D667" s="3"/>
      <c r="E667" s="4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4"/>
      <c r="R667" s="3"/>
      <c r="S667" s="3"/>
      <c r="T667" s="3"/>
      <c r="U667" s="3"/>
    </row>
    <row r="668">
      <c r="A668" s="3"/>
      <c r="B668" s="3"/>
      <c r="C668" s="3"/>
      <c r="D668" s="3"/>
      <c r="E668" s="4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4"/>
      <c r="R668" s="3"/>
      <c r="S668" s="3"/>
      <c r="T668" s="3"/>
      <c r="U668" s="3"/>
    </row>
    <row r="669">
      <c r="A669" s="3"/>
      <c r="B669" s="3"/>
      <c r="C669" s="3"/>
      <c r="D669" s="3"/>
      <c r="E669" s="4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4"/>
      <c r="R669" s="3"/>
      <c r="S669" s="3"/>
      <c r="T669" s="3"/>
      <c r="U669" s="3"/>
    </row>
    <row r="670">
      <c r="A670" s="3"/>
      <c r="B670" s="3"/>
      <c r="C670" s="3"/>
      <c r="D670" s="3"/>
      <c r="E670" s="4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4"/>
      <c r="R670" s="3"/>
      <c r="S670" s="3"/>
      <c r="T670" s="3"/>
      <c r="U670" s="3"/>
    </row>
    <row r="671">
      <c r="A671" s="3"/>
      <c r="B671" s="3"/>
      <c r="C671" s="3"/>
      <c r="D671" s="3"/>
      <c r="E671" s="4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4"/>
      <c r="R671" s="3"/>
      <c r="S671" s="3"/>
      <c r="T671" s="3"/>
      <c r="U671" s="3"/>
    </row>
    <row r="672">
      <c r="A672" s="3"/>
      <c r="B672" s="3"/>
      <c r="C672" s="3"/>
      <c r="D672" s="3"/>
      <c r="E672" s="4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4"/>
      <c r="R672" s="3"/>
      <c r="S672" s="3"/>
      <c r="T672" s="3"/>
      <c r="U672" s="3"/>
    </row>
    <row r="673">
      <c r="A673" s="3"/>
      <c r="B673" s="3"/>
      <c r="C673" s="3"/>
      <c r="D673" s="3"/>
      <c r="E673" s="4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4"/>
      <c r="R673" s="3"/>
      <c r="S673" s="3"/>
      <c r="T673" s="3"/>
      <c r="U673" s="3"/>
    </row>
    <row r="674">
      <c r="A674" s="3"/>
      <c r="B674" s="3"/>
      <c r="C674" s="3"/>
      <c r="D674" s="3"/>
      <c r="E674" s="4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4"/>
      <c r="R674" s="3"/>
      <c r="S674" s="3"/>
      <c r="T674" s="3"/>
      <c r="U674" s="3"/>
    </row>
    <row r="675">
      <c r="A675" s="3"/>
      <c r="B675" s="3"/>
      <c r="C675" s="3"/>
      <c r="D675" s="3"/>
      <c r="E675" s="4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4"/>
      <c r="R675" s="3"/>
      <c r="S675" s="3"/>
      <c r="T675" s="3"/>
      <c r="U675" s="3"/>
    </row>
    <row r="676">
      <c r="A676" s="3"/>
      <c r="B676" s="3"/>
      <c r="C676" s="3"/>
      <c r="D676" s="3"/>
      <c r="E676" s="4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4"/>
      <c r="R676" s="3"/>
      <c r="S676" s="3"/>
      <c r="T676" s="3"/>
      <c r="U676" s="3"/>
    </row>
    <row r="677">
      <c r="A677" s="3"/>
      <c r="B677" s="3"/>
      <c r="C677" s="3"/>
      <c r="D677" s="3"/>
      <c r="E677" s="4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4"/>
      <c r="R677" s="3"/>
      <c r="S677" s="3"/>
      <c r="T677" s="3"/>
      <c r="U677" s="3"/>
    </row>
    <row r="678">
      <c r="A678" s="3"/>
      <c r="B678" s="3"/>
      <c r="C678" s="3"/>
      <c r="D678" s="3"/>
      <c r="E678" s="4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4"/>
      <c r="R678" s="3"/>
      <c r="S678" s="3"/>
      <c r="T678" s="3"/>
      <c r="U678" s="3"/>
    </row>
    <row r="679">
      <c r="A679" s="3"/>
      <c r="B679" s="3"/>
      <c r="C679" s="3"/>
      <c r="D679" s="3"/>
      <c r="E679" s="4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4"/>
      <c r="R679" s="3"/>
      <c r="S679" s="3"/>
      <c r="T679" s="3"/>
      <c r="U679" s="3"/>
    </row>
    <row r="680">
      <c r="A680" s="3"/>
      <c r="B680" s="3"/>
      <c r="C680" s="3"/>
      <c r="D680" s="3"/>
      <c r="E680" s="4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4"/>
      <c r="R680" s="3"/>
      <c r="S680" s="3"/>
      <c r="T680" s="3"/>
      <c r="U680" s="3"/>
    </row>
    <row r="681">
      <c r="A681" s="3"/>
      <c r="B681" s="3"/>
      <c r="C681" s="3"/>
      <c r="D681" s="3"/>
      <c r="E681" s="4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4"/>
      <c r="R681" s="3"/>
      <c r="S681" s="3"/>
      <c r="T681" s="3"/>
      <c r="U681" s="3"/>
    </row>
    <row r="682">
      <c r="A682" s="3"/>
      <c r="B682" s="3"/>
      <c r="C682" s="3"/>
      <c r="D682" s="3"/>
      <c r="E682" s="4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4"/>
      <c r="R682" s="3"/>
      <c r="S682" s="3"/>
      <c r="T682" s="3"/>
      <c r="U682" s="3"/>
    </row>
    <row r="683">
      <c r="A683" s="3"/>
      <c r="B683" s="3"/>
      <c r="C683" s="3"/>
      <c r="D683" s="3"/>
      <c r="E683" s="4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4"/>
      <c r="R683" s="3"/>
      <c r="S683" s="3"/>
      <c r="T683" s="3"/>
      <c r="U683" s="3"/>
    </row>
    <row r="684">
      <c r="A684" s="3"/>
      <c r="B684" s="3"/>
      <c r="C684" s="3"/>
      <c r="D684" s="3"/>
      <c r="E684" s="4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4"/>
      <c r="R684" s="3"/>
      <c r="S684" s="3"/>
      <c r="T684" s="3"/>
      <c r="U684" s="3"/>
    </row>
    <row r="685">
      <c r="A685" s="3"/>
      <c r="B685" s="3"/>
      <c r="C685" s="3"/>
      <c r="D685" s="3"/>
      <c r="E685" s="4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4"/>
      <c r="R685" s="3"/>
      <c r="S685" s="3"/>
      <c r="T685" s="3"/>
      <c r="U685" s="3"/>
    </row>
    <row r="686">
      <c r="A686" s="3"/>
      <c r="B686" s="3"/>
      <c r="C686" s="3"/>
      <c r="D686" s="3"/>
      <c r="E686" s="4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4"/>
      <c r="R686" s="3"/>
      <c r="S686" s="3"/>
      <c r="T686" s="3"/>
      <c r="U686" s="3"/>
    </row>
    <row r="687">
      <c r="A687" s="3"/>
      <c r="B687" s="3"/>
      <c r="C687" s="3"/>
      <c r="D687" s="3"/>
      <c r="E687" s="4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4"/>
      <c r="R687" s="3"/>
      <c r="S687" s="3"/>
      <c r="T687" s="3"/>
      <c r="U687" s="3"/>
    </row>
    <row r="688">
      <c r="A688" s="3"/>
      <c r="B688" s="3"/>
      <c r="C688" s="3"/>
      <c r="D688" s="3"/>
      <c r="E688" s="4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4"/>
      <c r="R688" s="3"/>
      <c r="S688" s="3"/>
      <c r="T688" s="3"/>
      <c r="U688" s="3"/>
    </row>
    <row r="689">
      <c r="A689" s="3"/>
      <c r="B689" s="3"/>
      <c r="C689" s="3"/>
      <c r="D689" s="3"/>
      <c r="E689" s="4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4"/>
      <c r="R689" s="3"/>
      <c r="S689" s="3"/>
      <c r="T689" s="3"/>
      <c r="U689" s="3"/>
    </row>
    <row r="690">
      <c r="A690" s="3"/>
      <c r="B690" s="3"/>
      <c r="C690" s="3"/>
      <c r="D690" s="3"/>
      <c r="E690" s="4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4"/>
      <c r="R690" s="3"/>
      <c r="S690" s="3"/>
      <c r="T690" s="3"/>
      <c r="U690" s="3"/>
    </row>
    <row r="691">
      <c r="A691" s="3"/>
      <c r="B691" s="3"/>
      <c r="C691" s="3"/>
      <c r="D691" s="3"/>
      <c r="E691" s="4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4"/>
      <c r="R691" s="3"/>
      <c r="S691" s="3"/>
      <c r="T691" s="3"/>
      <c r="U691" s="3"/>
    </row>
    <row r="692">
      <c r="A692" s="3"/>
      <c r="B692" s="3"/>
      <c r="C692" s="3"/>
      <c r="D692" s="3"/>
      <c r="E692" s="4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4"/>
      <c r="R692" s="3"/>
      <c r="S692" s="3"/>
      <c r="T692" s="3"/>
      <c r="U692" s="3"/>
    </row>
    <row r="693">
      <c r="A693" s="3"/>
      <c r="B693" s="3"/>
      <c r="C693" s="3"/>
      <c r="D693" s="3"/>
      <c r="E693" s="4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4"/>
      <c r="R693" s="3"/>
      <c r="S693" s="3"/>
      <c r="T693" s="3"/>
      <c r="U693" s="3"/>
    </row>
    <row r="694">
      <c r="A694" s="3"/>
      <c r="B694" s="3"/>
      <c r="C694" s="3"/>
      <c r="D694" s="3"/>
      <c r="E694" s="4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4"/>
      <c r="R694" s="3"/>
      <c r="S694" s="3"/>
      <c r="T694" s="3"/>
      <c r="U694" s="3"/>
    </row>
    <row r="695">
      <c r="A695" s="3"/>
      <c r="B695" s="3"/>
      <c r="C695" s="3"/>
      <c r="D695" s="3"/>
      <c r="E695" s="4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4"/>
      <c r="R695" s="3"/>
      <c r="S695" s="3"/>
      <c r="T695" s="3"/>
      <c r="U695" s="3"/>
    </row>
    <row r="696">
      <c r="A696" s="3"/>
      <c r="B696" s="3"/>
      <c r="C696" s="3"/>
      <c r="D696" s="3"/>
      <c r="E696" s="4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4"/>
      <c r="R696" s="3"/>
      <c r="S696" s="3"/>
      <c r="T696" s="3"/>
      <c r="U696" s="3"/>
    </row>
    <row r="697">
      <c r="A697" s="3"/>
      <c r="B697" s="3"/>
      <c r="C697" s="3"/>
      <c r="D697" s="3"/>
      <c r="E697" s="4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4"/>
      <c r="R697" s="3"/>
      <c r="S697" s="3"/>
      <c r="T697" s="3"/>
      <c r="U697" s="3"/>
    </row>
    <row r="698">
      <c r="A698" s="3"/>
      <c r="B698" s="3"/>
      <c r="C698" s="3"/>
      <c r="D698" s="3"/>
      <c r="E698" s="4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4"/>
      <c r="R698" s="3"/>
      <c r="S698" s="3"/>
      <c r="T698" s="3"/>
      <c r="U698" s="3"/>
    </row>
    <row r="699">
      <c r="A699" s="3"/>
      <c r="B699" s="3"/>
      <c r="C699" s="3"/>
      <c r="D699" s="3"/>
      <c r="E699" s="4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4"/>
      <c r="R699" s="3"/>
      <c r="S699" s="3"/>
      <c r="T699" s="3"/>
      <c r="U699" s="3"/>
    </row>
    <row r="700">
      <c r="A700" s="3"/>
      <c r="B700" s="3"/>
      <c r="C700" s="3"/>
      <c r="D700" s="3"/>
      <c r="E700" s="4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4"/>
      <c r="R700" s="3"/>
      <c r="S700" s="3"/>
      <c r="T700" s="3"/>
      <c r="U700" s="3"/>
    </row>
    <row r="701">
      <c r="A701" s="3"/>
      <c r="B701" s="3"/>
      <c r="C701" s="3"/>
      <c r="D701" s="3"/>
      <c r="E701" s="4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4"/>
      <c r="R701" s="3"/>
      <c r="S701" s="3"/>
      <c r="T701" s="3"/>
      <c r="U701" s="3"/>
    </row>
    <row r="702">
      <c r="A702" s="3"/>
      <c r="B702" s="3"/>
      <c r="C702" s="3"/>
      <c r="D702" s="3"/>
      <c r="E702" s="4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4"/>
      <c r="R702" s="3"/>
      <c r="S702" s="3"/>
      <c r="T702" s="3"/>
      <c r="U702" s="3"/>
    </row>
    <row r="703">
      <c r="A703" s="3"/>
      <c r="B703" s="3"/>
      <c r="C703" s="3"/>
      <c r="D703" s="3"/>
      <c r="E703" s="4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4"/>
      <c r="R703" s="3"/>
      <c r="S703" s="3"/>
      <c r="T703" s="3"/>
      <c r="U703" s="3"/>
    </row>
    <row r="704">
      <c r="A704" s="3"/>
      <c r="B704" s="3"/>
      <c r="C704" s="3"/>
      <c r="D704" s="3"/>
      <c r="E704" s="4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4"/>
      <c r="R704" s="3"/>
      <c r="S704" s="3"/>
      <c r="T704" s="3"/>
      <c r="U704" s="3"/>
    </row>
    <row r="705">
      <c r="A705" s="3"/>
      <c r="B705" s="3"/>
      <c r="C705" s="3"/>
      <c r="D705" s="3"/>
      <c r="E705" s="4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4"/>
      <c r="R705" s="3"/>
      <c r="S705" s="3"/>
      <c r="T705" s="3"/>
      <c r="U705" s="3"/>
    </row>
    <row r="706">
      <c r="A706" s="3"/>
      <c r="B706" s="3"/>
      <c r="C706" s="3"/>
      <c r="D706" s="3"/>
      <c r="E706" s="4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4"/>
      <c r="R706" s="3"/>
      <c r="S706" s="3"/>
      <c r="T706" s="3"/>
      <c r="U706" s="3"/>
    </row>
    <row r="707">
      <c r="A707" s="3"/>
      <c r="B707" s="3"/>
      <c r="C707" s="3"/>
      <c r="D707" s="3"/>
      <c r="E707" s="4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4"/>
      <c r="R707" s="3"/>
      <c r="S707" s="3"/>
      <c r="T707" s="3"/>
      <c r="U707" s="3"/>
    </row>
    <row r="708">
      <c r="A708" s="3"/>
      <c r="B708" s="3"/>
      <c r="C708" s="3"/>
      <c r="D708" s="3"/>
      <c r="E708" s="4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4"/>
      <c r="R708" s="3"/>
      <c r="S708" s="3"/>
      <c r="T708" s="3"/>
      <c r="U708" s="3"/>
    </row>
    <row r="709">
      <c r="A709" s="3"/>
      <c r="B709" s="3"/>
      <c r="C709" s="3"/>
      <c r="D709" s="3"/>
      <c r="E709" s="4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4"/>
      <c r="R709" s="3"/>
      <c r="S709" s="3"/>
      <c r="T709" s="3"/>
      <c r="U709" s="3"/>
    </row>
    <row r="710">
      <c r="A710" s="3"/>
      <c r="B710" s="3"/>
      <c r="C710" s="3"/>
      <c r="D710" s="3"/>
      <c r="E710" s="4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4"/>
      <c r="R710" s="3"/>
      <c r="S710" s="3"/>
      <c r="T710" s="3"/>
      <c r="U710" s="3"/>
    </row>
    <row r="711">
      <c r="A711" s="3"/>
      <c r="B711" s="3"/>
      <c r="C711" s="3"/>
      <c r="D711" s="3"/>
      <c r="E711" s="4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4"/>
      <c r="R711" s="3"/>
      <c r="S711" s="3"/>
      <c r="T711" s="3"/>
      <c r="U711" s="3"/>
    </row>
    <row r="712">
      <c r="A712" s="3"/>
      <c r="B712" s="3"/>
      <c r="C712" s="3"/>
      <c r="D712" s="3"/>
      <c r="E712" s="4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4"/>
      <c r="R712" s="3"/>
      <c r="S712" s="3"/>
      <c r="T712" s="3"/>
      <c r="U712" s="3"/>
    </row>
    <row r="713">
      <c r="A713" s="3"/>
      <c r="B713" s="3"/>
      <c r="C713" s="3"/>
      <c r="D713" s="3"/>
      <c r="E713" s="4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4"/>
      <c r="R713" s="3"/>
      <c r="S713" s="3"/>
      <c r="T713" s="3"/>
      <c r="U713" s="3"/>
    </row>
    <row r="714">
      <c r="A714" s="3"/>
      <c r="B714" s="3"/>
      <c r="C714" s="3"/>
      <c r="D714" s="3"/>
      <c r="E714" s="4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4"/>
      <c r="R714" s="3"/>
      <c r="S714" s="3"/>
      <c r="T714" s="3"/>
      <c r="U714" s="3"/>
    </row>
    <row r="715">
      <c r="A715" s="3"/>
      <c r="B715" s="3"/>
      <c r="C715" s="3"/>
      <c r="D715" s="3"/>
      <c r="E715" s="4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4"/>
      <c r="R715" s="3"/>
      <c r="S715" s="3"/>
      <c r="T715" s="3"/>
      <c r="U715" s="3"/>
    </row>
    <row r="716">
      <c r="A716" s="3"/>
      <c r="B716" s="3"/>
      <c r="C716" s="3"/>
      <c r="D716" s="3"/>
      <c r="E716" s="4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4"/>
      <c r="R716" s="3"/>
      <c r="S716" s="3"/>
      <c r="T716" s="3"/>
      <c r="U716" s="3"/>
    </row>
    <row r="717">
      <c r="A717" s="3"/>
      <c r="B717" s="3"/>
      <c r="C717" s="3"/>
      <c r="D717" s="3"/>
      <c r="E717" s="4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4"/>
      <c r="R717" s="3"/>
      <c r="S717" s="3"/>
      <c r="T717" s="3"/>
      <c r="U717" s="3"/>
    </row>
    <row r="718">
      <c r="A718" s="3"/>
      <c r="B718" s="3"/>
      <c r="C718" s="3"/>
      <c r="D718" s="3"/>
      <c r="E718" s="4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4"/>
      <c r="R718" s="3"/>
      <c r="S718" s="3"/>
      <c r="T718" s="3"/>
      <c r="U718" s="3"/>
    </row>
    <row r="719">
      <c r="A719" s="3"/>
      <c r="B719" s="3"/>
      <c r="C719" s="3"/>
      <c r="D719" s="3"/>
      <c r="E719" s="4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4"/>
      <c r="R719" s="3"/>
      <c r="S719" s="3"/>
      <c r="T719" s="3"/>
      <c r="U719" s="3"/>
    </row>
    <row r="720">
      <c r="A720" s="3"/>
      <c r="B720" s="3"/>
      <c r="C720" s="3"/>
      <c r="D720" s="3"/>
      <c r="E720" s="4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4"/>
      <c r="R720" s="3"/>
      <c r="S720" s="3"/>
      <c r="T720" s="3"/>
      <c r="U720" s="3"/>
    </row>
    <row r="721">
      <c r="A721" s="3"/>
      <c r="B721" s="3"/>
      <c r="C721" s="3"/>
      <c r="D721" s="3"/>
      <c r="E721" s="4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4"/>
      <c r="R721" s="3"/>
      <c r="S721" s="3"/>
      <c r="T721" s="3"/>
      <c r="U721" s="3"/>
    </row>
    <row r="722">
      <c r="A722" s="3"/>
      <c r="B722" s="3"/>
      <c r="C722" s="3"/>
      <c r="D722" s="3"/>
      <c r="E722" s="4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4"/>
      <c r="R722" s="3"/>
      <c r="S722" s="3"/>
      <c r="T722" s="3"/>
      <c r="U722" s="3"/>
    </row>
    <row r="723">
      <c r="A723" s="3"/>
      <c r="B723" s="3"/>
      <c r="C723" s="3"/>
      <c r="D723" s="3"/>
      <c r="E723" s="4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4"/>
      <c r="R723" s="3"/>
      <c r="S723" s="3"/>
      <c r="T723" s="3"/>
      <c r="U723" s="3"/>
    </row>
    <row r="724">
      <c r="A724" s="3"/>
      <c r="B724" s="3"/>
      <c r="C724" s="3"/>
      <c r="D724" s="3"/>
      <c r="E724" s="4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4"/>
      <c r="R724" s="3"/>
      <c r="S724" s="3"/>
      <c r="T724" s="3"/>
      <c r="U724" s="3"/>
    </row>
    <row r="725">
      <c r="A725" s="3"/>
      <c r="B725" s="3"/>
      <c r="C725" s="3"/>
      <c r="D725" s="3"/>
      <c r="E725" s="4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4"/>
      <c r="R725" s="3"/>
      <c r="S725" s="3"/>
      <c r="T725" s="3"/>
      <c r="U725" s="3"/>
    </row>
    <row r="726">
      <c r="A726" s="3"/>
      <c r="B726" s="3"/>
      <c r="C726" s="3"/>
      <c r="D726" s="3"/>
      <c r="E726" s="4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4"/>
      <c r="R726" s="3"/>
      <c r="S726" s="3"/>
      <c r="T726" s="3"/>
      <c r="U726" s="3"/>
    </row>
    <row r="727">
      <c r="A727" s="3"/>
      <c r="B727" s="3"/>
      <c r="C727" s="3"/>
      <c r="D727" s="3"/>
      <c r="E727" s="4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4"/>
      <c r="R727" s="3"/>
      <c r="S727" s="3"/>
      <c r="T727" s="3"/>
      <c r="U727" s="3"/>
    </row>
    <row r="728">
      <c r="A728" s="3"/>
      <c r="B728" s="3"/>
      <c r="C728" s="3"/>
      <c r="D728" s="3"/>
      <c r="E728" s="4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4"/>
      <c r="R728" s="3"/>
      <c r="S728" s="3"/>
      <c r="T728" s="3"/>
      <c r="U728" s="3"/>
    </row>
    <row r="729">
      <c r="A729" s="3"/>
      <c r="B729" s="3"/>
      <c r="C729" s="3"/>
      <c r="D729" s="3"/>
      <c r="E729" s="4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4"/>
      <c r="R729" s="3"/>
      <c r="S729" s="3"/>
      <c r="T729" s="3"/>
      <c r="U729" s="3"/>
    </row>
    <row r="730">
      <c r="A730" s="3"/>
      <c r="B730" s="3"/>
      <c r="C730" s="3"/>
      <c r="D730" s="3"/>
      <c r="E730" s="4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4"/>
      <c r="R730" s="3"/>
      <c r="S730" s="3"/>
      <c r="T730" s="3"/>
      <c r="U730" s="3"/>
    </row>
    <row r="731">
      <c r="A731" s="3"/>
      <c r="B731" s="3"/>
      <c r="C731" s="3"/>
      <c r="D731" s="3"/>
      <c r="E731" s="4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4"/>
      <c r="R731" s="3"/>
      <c r="S731" s="3"/>
      <c r="T731" s="3"/>
      <c r="U731" s="3"/>
    </row>
    <row r="732">
      <c r="A732" s="3"/>
      <c r="B732" s="3"/>
      <c r="C732" s="3"/>
      <c r="D732" s="3"/>
      <c r="E732" s="4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4"/>
      <c r="R732" s="3"/>
      <c r="S732" s="3"/>
      <c r="T732" s="3"/>
      <c r="U732" s="3"/>
    </row>
    <row r="733">
      <c r="A733" s="3"/>
      <c r="B733" s="3"/>
      <c r="C733" s="3"/>
      <c r="D733" s="3"/>
      <c r="E733" s="4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4"/>
      <c r="R733" s="3"/>
      <c r="S733" s="3"/>
      <c r="T733" s="3"/>
      <c r="U733" s="3"/>
    </row>
    <row r="734">
      <c r="A734" s="3"/>
      <c r="B734" s="3"/>
      <c r="C734" s="3"/>
      <c r="D734" s="3"/>
      <c r="E734" s="4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4"/>
      <c r="R734" s="3"/>
      <c r="S734" s="3"/>
      <c r="T734" s="3"/>
      <c r="U734" s="3"/>
    </row>
    <row r="735">
      <c r="A735" s="3"/>
      <c r="B735" s="3"/>
      <c r="C735" s="3"/>
      <c r="D735" s="3"/>
      <c r="E735" s="4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4"/>
      <c r="R735" s="3"/>
      <c r="S735" s="3"/>
      <c r="T735" s="3"/>
      <c r="U735" s="3"/>
    </row>
    <row r="736">
      <c r="A736" s="3"/>
      <c r="B736" s="3"/>
      <c r="C736" s="3"/>
      <c r="D736" s="3"/>
      <c r="E736" s="4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4"/>
      <c r="R736" s="3"/>
      <c r="S736" s="3"/>
      <c r="T736" s="3"/>
      <c r="U736" s="3"/>
    </row>
    <row r="737">
      <c r="A737" s="3"/>
      <c r="B737" s="3"/>
      <c r="C737" s="3"/>
      <c r="D737" s="3"/>
      <c r="E737" s="4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4"/>
      <c r="R737" s="3"/>
      <c r="S737" s="3"/>
      <c r="T737" s="3"/>
      <c r="U737" s="3"/>
    </row>
    <row r="738">
      <c r="A738" s="3"/>
      <c r="B738" s="3"/>
      <c r="C738" s="3"/>
      <c r="D738" s="3"/>
      <c r="E738" s="4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4"/>
      <c r="R738" s="3"/>
      <c r="S738" s="3"/>
      <c r="T738" s="3"/>
      <c r="U738" s="3"/>
    </row>
    <row r="739">
      <c r="A739" s="3"/>
      <c r="B739" s="3"/>
      <c r="C739" s="3"/>
      <c r="D739" s="3"/>
      <c r="E739" s="4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4"/>
      <c r="R739" s="3"/>
      <c r="S739" s="3"/>
      <c r="T739" s="3"/>
      <c r="U739" s="3"/>
    </row>
    <row r="740">
      <c r="A740" s="3"/>
      <c r="B740" s="3"/>
      <c r="C740" s="3"/>
      <c r="D740" s="3"/>
      <c r="E740" s="4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4"/>
      <c r="R740" s="3"/>
      <c r="S740" s="3"/>
      <c r="T740" s="3"/>
      <c r="U740" s="3"/>
    </row>
    <row r="741">
      <c r="A741" s="3"/>
      <c r="B741" s="3"/>
      <c r="C741" s="3"/>
      <c r="D741" s="3"/>
      <c r="E741" s="4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4"/>
      <c r="R741" s="3"/>
      <c r="S741" s="3"/>
      <c r="T741" s="3"/>
      <c r="U741" s="3"/>
    </row>
    <row r="742">
      <c r="A742" s="3"/>
      <c r="B742" s="3"/>
      <c r="C742" s="3"/>
      <c r="D742" s="3"/>
      <c r="E742" s="4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4"/>
      <c r="R742" s="3"/>
      <c r="S742" s="3"/>
      <c r="T742" s="3"/>
      <c r="U742" s="3"/>
    </row>
    <row r="743">
      <c r="A743" s="3"/>
      <c r="B743" s="3"/>
      <c r="C743" s="3"/>
      <c r="D743" s="3"/>
      <c r="E743" s="4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4"/>
      <c r="R743" s="3"/>
      <c r="S743" s="3"/>
      <c r="T743" s="3"/>
      <c r="U743" s="3"/>
    </row>
    <row r="744">
      <c r="A744" s="3"/>
      <c r="B744" s="3"/>
      <c r="C744" s="3"/>
      <c r="D744" s="3"/>
      <c r="E744" s="4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4"/>
      <c r="R744" s="3"/>
      <c r="S744" s="3"/>
      <c r="T744" s="3"/>
      <c r="U744" s="3"/>
    </row>
    <row r="745">
      <c r="A745" s="3"/>
      <c r="B745" s="3"/>
      <c r="C745" s="3"/>
      <c r="D745" s="3"/>
      <c r="E745" s="4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4"/>
      <c r="R745" s="3"/>
      <c r="S745" s="3"/>
      <c r="T745" s="3"/>
      <c r="U745" s="3"/>
    </row>
    <row r="746">
      <c r="A746" s="3"/>
      <c r="B746" s="3"/>
      <c r="C746" s="3"/>
      <c r="D746" s="3"/>
      <c r="E746" s="4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4"/>
      <c r="R746" s="3"/>
      <c r="S746" s="3"/>
      <c r="T746" s="3"/>
      <c r="U746" s="3"/>
    </row>
    <row r="747">
      <c r="A747" s="3"/>
      <c r="B747" s="3"/>
      <c r="C747" s="3"/>
      <c r="D747" s="3"/>
      <c r="E747" s="4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4"/>
      <c r="R747" s="3"/>
      <c r="S747" s="3"/>
      <c r="T747" s="3"/>
      <c r="U747" s="3"/>
    </row>
    <row r="748">
      <c r="A748" s="3"/>
      <c r="B748" s="3"/>
      <c r="C748" s="3"/>
      <c r="D748" s="3"/>
      <c r="E748" s="4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4"/>
      <c r="R748" s="3"/>
      <c r="S748" s="3"/>
      <c r="T748" s="3"/>
      <c r="U748" s="3"/>
    </row>
    <row r="749">
      <c r="A749" s="3"/>
      <c r="B749" s="3"/>
      <c r="C749" s="3"/>
      <c r="D749" s="3"/>
      <c r="E749" s="4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4"/>
      <c r="R749" s="3"/>
      <c r="S749" s="3"/>
      <c r="T749" s="3"/>
      <c r="U749" s="3"/>
    </row>
    <row r="750">
      <c r="A750" s="3"/>
      <c r="B750" s="3"/>
      <c r="C750" s="3"/>
      <c r="D750" s="3"/>
      <c r="E750" s="4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4"/>
      <c r="R750" s="3"/>
      <c r="S750" s="3"/>
      <c r="T750" s="3"/>
      <c r="U750" s="3"/>
    </row>
    <row r="751">
      <c r="A751" s="3"/>
      <c r="B751" s="3"/>
      <c r="C751" s="3"/>
      <c r="D751" s="3"/>
      <c r="E751" s="4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4"/>
      <c r="R751" s="3"/>
      <c r="S751" s="3"/>
      <c r="T751" s="3"/>
      <c r="U751" s="3"/>
    </row>
    <row r="752">
      <c r="A752" s="3"/>
      <c r="B752" s="3"/>
      <c r="C752" s="3"/>
      <c r="D752" s="3"/>
      <c r="E752" s="4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4"/>
      <c r="R752" s="3"/>
      <c r="S752" s="3"/>
      <c r="T752" s="3"/>
      <c r="U752" s="3"/>
    </row>
    <row r="753">
      <c r="A753" s="3"/>
      <c r="B753" s="3"/>
      <c r="C753" s="3"/>
      <c r="D753" s="3"/>
      <c r="E753" s="4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4"/>
      <c r="R753" s="3"/>
      <c r="S753" s="3"/>
      <c r="T753" s="3"/>
      <c r="U753" s="3"/>
    </row>
    <row r="754">
      <c r="A754" s="3"/>
      <c r="B754" s="3"/>
      <c r="C754" s="3"/>
      <c r="D754" s="3"/>
      <c r="E754" s="4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4"/>
      <c r="R754" s="3"/>
      <c r="S754" s="3"/>
      <c r="T754" s="3"/>
      <c r="U754" s="3"/>
    </row>
    <row r="755">
      <c r="A755" s="3"/>
      <c r="B755" s="3"/>
      <c r="C755" s="3"/>
      <c r="D755" s="3"/>
      <c r="E755" s="4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4"/>
      <c r="R755" s="3"/>
      <c r="S755" s="3"/>
      <c r="T755" s="3"/>
      <c r="U755" s="3"/>
    </row>
    <row r="756">
      <c r="A756" s="3"/>
      <c r="B756" s="3"/>
      <c r="C756" s="3"/>
      <c r="D756" s="3"/>
      <c r="E756" s="4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4"/>
      <c r="R756" s="3"/>
      <c r="S756" s="3"/>
      <c r="T756" s="3"/>
      <c r="U756" s="3"/>
    </row>
    <row r="757">
      <c r="A757" s="3"/>
      <c r="B757" s="3"/>
      <c r="C757" s="3"/>
      <c r="D757" s="3"/>
      <c r="E757" s="4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4"/>
      <c r="R757" s="3"/>
      <c r="S757" s="3"/>
      <c r="T757" s="3"/>
      <c r="U757" s="3"/>
    </row>
    <row r="758">
      <c r="A758" s="3"/>
      <c r="B758" s="3"/>
      <c r="C758" s="3"/>
      <c r="D758" s="3"/>
      <c r="E758" s="4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4"/>
      <c r="R758" s="3"/>
      <c r="S758" s="3"/>
      <c r="T758" s="3"/>
      <c r="U758" s="3"/>
    </row>
    <row r="759">
      <c r="A759" s="3"/>
      <c r="B759" s="3"/>
      <c r="C759" s="3"/>
      <c r="D759" s="3"/>
      <c r="E759" s="4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4"/>
      <c r="R759" s="3"/>
      <c r="S759" s="3"/>
      <c r="T759" s="3"/>
      <c r="U759" s="3"/>
    </row>
    <row r="760">
      <c r="A760" s="3"/>
      <c r="B760" s="3"/>
      <c r="C760" s="3"/>
      <c r="D760" s="3"/>
      <c r="E760" s="4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4"/>
      <c r="R760" s="3"/>
      <c r="S760" s="3"/>
      <c r="T760" s="3"/>
      <c r="U760" s="3"/>
    </row>
    <row r="761">
      <c r="A761" s="3"/>
      <c r="B761" s="3"/>
      <c r="C761" s="3"/>
      <c r="D761" s="3"/>
      <c r="E761" s="4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4"/>
      <c r="R761" s="3"/>
      <c r="S761" s="3"/>
      <c r="T761" s="3"/>
      <c r="U761" s="3"/>
    </row>
    <row r="762">
      <c r="A762" s="3"/>
      <c r="B762" s="3"/>
      <c r="C762" s="3"/>
      <c r="D762" s="3"/>
      <c r="E762" s="4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4"/>
      <c r="R762" s="3"/>
      <c r="S762" s="3"/>
      <c r="T762" s="3"/>
      <c r="U762" s="3"/>
    </row>
    <row r="763">
      <c r="A763" s="3"/>
      <c r="B763" s="3"/>
      <c r="C763" s="3"/>
      <c r="D763" s="3"/>
      <c r="E763" s="4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4"/>
      <c r="R763" s="3"/>
      <c r="S763" s="3"/>
      <c r="T763" s="3"/>
      <c r="U763" s="3"/>
    </row>
    <row r="764">
      <c r="A764" s="3"/>
      <c r="B764" s="3"/>
      <c r="C764" s="3"/>
      <c r="D764" s="3"/>
      <c r="E764" s="4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4"/>
      <c r="R764" s="3"/>
      <c r="S764" s="3"/>
      <c r="T764" s="3"/>
      <c r="U764" s="3"/>
    </row>
    <row r="765">
      <c r="A765" s="3"/>
      <c r="B765" s="3"/>
      <c r="C765" s="3"/>
      <c r="D765" s="3"/>
      <c r="E765" s="4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4"/>
      <c r="R765" s="3"/>
      <c r="S765" s="3"/>
      <c r="T765" s="3"/>
      <c r="U765" s="3"/>
    </row>
    <row r="766">
      <c r="A766" s="3"/>
      <c r="B766" s="3"/>
      <c r="C766" s="3"/>
      <c r="D766" s="3"/>
      <c r="E766" s="4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4"/>
      <c r="R766" s="3"/>
      <c r="S766" s="3"/>
      <c r="T766" s="3"/>
      <c r="U766" s="3"/>
    </row>
    <row r="767">
      <c r="A767" s="3"/>
      <c r="B767" s="3"/>
      <c r="C767" s="3"/>
      <c r="D767" s="3"/>
      <c r="E767" s="4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4"/>
      <c r="R767" s="3"/>
      <c r="S767" s="3"/>
      <c r="T767" s="3"/>
      <c r="U767" s="3"/>
    </row>
    <row r="768">
      <c r="A768" s="3"/>
      <c r="B768" s="3"/>
      <c r="C768" s="3"/>
      <c r="D768" s="3"/>
      <c r="E768" s="4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4"/>
      <c r="R768" s="3"/>
      <c r="S768" s="3"/>
      <c r="T768" s="3"/>
      <c r="U768" s="3"/>
    </row>
    <row r="769">
      <c r="A769" s="3"/>
      <c r="B769" s="3"/>
      <c r="C769" s="3"/>
      <c r="D769" s="3"/>
      <c r="E769" s="4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4"/>
      <c r="R769" s="3"/>
      <c r="S769" s="3"/>
      <c r="T769" s="3"/>
      <c r="U769" s="3"/>
    </row>
    <row r="770">
      <c r="A770" s="3"/>
      <c r="B770" s="3"/>
      <c r="C770" s="3"/>
      <c r="D770" s="3"/>
      <c r="E770" s="4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4"/>
      <c r="R770" s="3"/>
      <c r="S770" s="3"/>
      <c r="T770" s="3"/>
      <c r="U770" s="3"/>
    </row>
    <row r="771">
      <c r="A771" s="3"/>
      <c r="B771" s="3"/>
      <c r="C771" s="3"/>
      <c r="D771" s="3"/>
      <c r="E771" s="4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4"/>
      <c r="R771" s="3"/>
      <c r="S771" s="3"/>
      <c r="T771" s="3"/>
      <c r="U771" s="3"/>
    </row>
    <row r="772">
      <c r="A772" s="3"/>
      <c r="B772" s="3"/>
      <c r="C772" s="3"/>
      <c r="D772" s="3"/>
      <c r="E772" s="4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4"/>
      <c r="R772" s="3"/>
      <c r="S772" s="3"/>
      <c r="T772" s="3"/>
      <c r="U772" s="3"/>
    </row>
    <row r="773">
      <c r="A773" s="3"/>
      <c r="B773" s="3"/>
      <c r="C773" s="3"/>
      <c r="D773" s="3"/>
      <c r="E773" s="4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4"/>
      <c r="R773" s="3"/>
      <c r="S773" s="3"/>
      <c r="T773" s="3"/>
      <c r="U773" s="3"/>
    </row>
    <row r="774">
      <c r="A774" s="3"/>
      <c r="B774" s="3"/>
      <c r="C774" s="3"/>
      <c r="D774" s="3"/>
      <c r="E774" s="4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4"/>
      <c r="R774" s="3"/>
      <c r="S774" s="3"/>
      <c r="T774" s="3"/>
      <c r="U774" s="3"/>
    </row>
    <row r="775">
      <c r="A775" s="3"/>
      <c r="B775" s="3"/>
      <c r="C775" s="3"/>
      <c r="D775" s="3"/>
      <c r="E775" s="4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4"/>
      <c r="R775" s="3"/>
      <c r="S775" s="3"/>
      <c r="T775" s="3"/>
      <c r="U775" s="3"/>
    </row>
    <row r="776">
      <c r="A776" s="3"/>
      <c r="B776" s="3"/>
      <c r="C776" s="3"/>
      <c r="D776" s="3"/>
      <c r="E776" s="4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4"/>
      <c r="R776" s="3"/>
      <c r="S776" s="3"/>
      <c r="T776" s="3"/>
      <c r="U776" s="3"/>
    </row>
    <row r="777">
      <c r="A777" s="3"/>
      <c r="B777" s="3"/>
      <c r="C777" s="3"/>
      <c r="D777" s="3"/>
      <c r="E777" s="4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4"/>
      <c r="R777" s="3"/>
      <c r="S777" s="3"/>
      <c r="T777" s="3"/>
      <c r="U777" s="3"/>
    </row>
    <row r="778">
      <c r="A778" s="3"/>
      <c r="B778" s="3"/>
      <c r="C778" s="3"/>
      <c r="D778" s="3"/>
      <c r="E778" s="4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4"/>
      <c r="R778" s="3"/>
      <c r="S778" s="3"/>
      <c r="T778" s="3"/>
      <c r="U778" s="3"/>
    </row>
    <row r="779">
      <c r="A779" s="3"/>
      <c r="B779" s="3"/>
      <c r="C779" s="3"/>
      <c r="D779" s="3"/>
      <c r="E779" s="4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4"/>
      <c r="R779" s="3"/>
      <c r="S779" s="3"/>
      <c r="T779" s="3"/>
      <c r="U779" s="3"/>
    </row>
    <row r="780">
      <c r="A780" s="3"/>
      <c r="B780" s="3"/>
      <c r="C780" s="3"/>
      <c r="D780" s="3"/>
      <c r="E780" s="4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4"/>
      <c r="R780" s="3"/>
      <c r="S780" s="3"/>
      <c r="T780" s="3"/>
      <c r="U780" s="3"/>
    </row>
    <row r="781">
      <c r="A781" s="3"/>
      <c r="B781" s="3"/>
      <c r="C781" s="3"/>
      <c r="D781" s="3"/>
      <c r="E781" s="4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4"/>
      <c r="R781" s="3"/>
      <c r="S781" s="3"/>
      <c r="T781" s="3"/>
      <c r="U781" s="3"/>
    </row>
    <row r="782">
      <c r="A782" s="3"/>
      <c r="B782" s="3"/>
      <c r="C782" s="3"/>
      <c r="D782" s="3"/>
      <c r="E782" s="4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4"/>
      <c r="R782" s="3"/>
      <c r="S782" s="3"/>
      <c r="T782" s="3"/>
      <c r="U782" s="3"/>
    </row>
    <row r="783">
      <c r="A783" s="3"/>
      <c r="B783" s="3"/>
      <c r="C783" s="3"/>
      <c r="D783" s="3"/>
      <c r="E783" s="4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4"/>
      <c r="R783" s="3"/>
      <c r="S783" s="3"/>
      <c r="T783" s="3"/>
      <c r="U783" s="3"/>
    </row>
    <row r="784">
      <c r="A784" s="3"/>
      <c r="B784" s="3"/>
      <c r="C784" s="3"/>
      <c r="D784" s="3"/>
      <c r="E784" s="4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4"/>
      <c r="R784" s="3"/>
      <c r="S784" s="3"/>
      <c r="T784" s="3"/>
      <c r="U784" s="3"/>
    </row>
    <row r="785">
      <c r="A785" s="3"/>
      <c r="B785" s="3"/>
      <c r="C785" s="3"/>
      <c r="D785" s="3"/>
      <c r="E785" s="4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4"/>
      <c r="R785" s="3"/>
      <c r="S785" s="3"/>
      <c r="T785" s="3"/>
      <c r="U785" s="3"/>
    </row>
    <row r="786">
      <c r="A786" s="3"/>
      <c r="B786" s="3"/>
      <c r="C786" s="3"/>
      <c r="D786" s="3"/>
      <c r="E786" s="4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4"/>
      <c r="R786" s="3"/>
      <c r="S786" s="3"/>
      <c r="T786" s="3"/>
      <c r="U786" s="3"/>
    </row>
    <row r="787">
      <c r="A787" s="3"/>
      <c r="B787" s="3"/>
      <c r="C787" s="3"/>
      <c r="D787" s="3"/>
      <c r="E787" s="4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4"/>
      <c r="R787" s="3"/>
      <c r="S787" s="3"/>
      <c r="T787" s="3"/>
      <c r="U787" s="3"/>
    </row>
    <row r="788">
      <c r="A788" s="3"/>
      <c r="B788" s="3"/>
      <c r="C788" s="3"/>
      <c r="D788" s="3"/>
      <c r="E788" s="4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4"/>
      <c r="R788" s="3"/>
      <c r="S788" s="3"/>
      <c r="T788" s="3"/>
      <c r="U788" s="3"/>
    </row>
    <row r="789">
      <c r="A789" s="3"/>
      <c r="B789" s="3"/>
      <c r="C789" s="3"/>
      <c r="D789" s="3"/>
      <c r="E789" s="4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4"/>
      <c r="R789" s="3"/>
      <c r="S789" s="3"/>
      <c r="T789" s="3"/>
      <c r="U789" s="3"/>
    </row>
    <row r="790">
      <c r="A790" s="3"/>
      <c r="B790" s="3"/>
      <c r="C790" s="3"/>
      <c r="D790" s="3"/>
      <c r="E790" s="4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4"/>
      <c r="R790" s="3"/>
      <c r="S790" s="3"/>
      <c r="T790" s="3"/>
      <c r="U790" s="3"/>
    </row>
    <row r="791">
      <c r="A791" s="3"/>
      <c r="B791" s="3"/>
      <c r="C791" s="3"/>
      <c r="D791" s="3"/>
      <c r="E791" s="4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4"/>
      <c r="R791" s="3"/>
      <c r="S791" s="3"/>
      <c r="T791" s="3"/>
      <c r="U791" s="3"/>
    </row>
    <row r="792">
      <c r="A792" s="3"/>
      <c r="B792" s="3"/>
      <c r="C792" s="3"/>
      <c r="D792" s="3"/>
      <c r="E792" s="4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4"/>
      <c r="R792" s="3"/>
      <c r="S792" s="3"/>
      <c r="T792" s="3"/>
      <c r="U792" s="3"/>
    </row>
    <row r="793">
      <c r="A793" s="3"/>
      <c r="B793" s="3"/>
      <c r="C793" s="3"/>
      <c r="D793" s="3"/>
      <c r="E793" s="4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4"/>
      <c r="R793" s="3"/>
      <c r="S793" s="3"/>
      <c r="T793" s="3"/>
      <c r="U793" s="3"/>
    </row>
    <row r="794">
      <c r="A794" s="3"/>
      <c r="B794" s="3"/>
      <c r="C794" s="3"/>
      <c r="D794" s="3"/>
      <c r="E794" s="4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4"/>
      <c r="R794" s="3"/>
      <c r="S794" s="3"/>
      <c r="T794" s="3"/>
      <c r="U794" s="3"/>
    </row>
    <row r="795">
      <c r="A795" s="3"/>
      <c r="B795" s="3"/>
      <c r="C795" s="3"/>
      <c r="D795" s="3"/>
      <c r="E795" s="4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4"/>
      <c r="R795" s="3"/>
      <c r="S795" s="3"/>
      <c r="T795" s="3"/>
      <c r="U795" s="3"/>
    </row>
    <row r="796">
      <c r="A796" s="3"/>
      <c r="B796" s="3"/>
      <c r="C796" s="3"/>
      <c r="D796" s="3"/>
      <c r="E796" s="4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4"/>
      <c r="R796" s="3"/>
      <c r="S796" s="3"/>
      <c r="T796" s="3"/>
      <c r="U796" s="3"/>
    </row>
    <row r="797">
      <c r="A797" s="3"/>
      <c r="B797" s="3"/>
      <c r="C797" s="3"/>
      <c r="D797" s="3"/>
      <c r="E797" s="4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4"/>
      <c r="R797" s="3"/>
      <c r="S797" s="3"/>
      <c r="T797" s="3"/>
      <c r="U797" s="3"/>
    </row>
    <row r="798">
      <c r="A798" s="3"/>
      <c r="B798" s="3"/>
      <c r="C798" s="3"/>
      <c r="D798" s="3"/>
      <c r="E798" s="4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4"/>
      <c r="R798" s="3"/>
      <c r="S798" s="3"/>
      <c r="T798" s="3"/>
      <c r="U798" s="3"/>
    </row>
    <row r="799">
      <c r="A799" s="3"/>
      <c r="B799" s="3"/>
      <c r="C799" s="3"/>
      <c r="D799" s="3"/>
      <c r="E799" s="4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4"/>
      <c r="R799" s="3"/>
      <c r="S799" s="3"/>
      <c r="T799" s="3"/>
      <c r="U799" s="3"/>
    </row>
    <row r="800">
      <c r="A800" s="3"/>
      <c r="B800" s="3"/>
      <c r="C800" s="3"/>
      <c r="D800" s="3"/>
      <c r="E800" s="4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4"/>
      <c r="R800" s="3"/>
      <c r="S800" s="3"/>
      <c r="T800" s="3"/>
      <c r="U800" s="3"/>
    </row>
    <row r="801">
      <c r="A801" s="3"/>
      <c r="B801" s="3"/>
      <c r="C801" s="3"/>
      <c r="D801" s="3"/>
      <c r="E801" s="4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4"/>
      <c r="R801" s="3"/>
      <c r="S801" s="3"/>
      <c r="T801" s="3"/>
      <c r="U801" s="3"/>
    </row>
    <row r="802">
      <c r="A802" s="3"/>
      <c r="B802" s="3"/>
      <c r="C802" s="3"/>
      <c r="D802" s="3"/>
      <c r="E802" s="4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4"/>
      <c r="R802" s="3"/>
      <c r="S802" s="3"/>
      <c r="T802" s="3"/>
      <c r="U802" s="3"/>
    </row>
    <row r="803">
      <c r="A803" s="3"/>
      <c r="B803" s="3"/>
      <c r="C803" s="3"/>
      <c r="D803" s="3"/>
      <c r="E803" s="4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4"/>
      <c r="R803" s="3"/>
      <c r="S803" s="3"/>
      <c r="T803" s="3"/>
      <c r="U803" s="3"/>
    </row>
    <row r="804">
      <c r="A804" s="3"/>
      <c r="B804" s="3"/>
      <c r="C804" s="3"/>
      <c r="D804" s="3"/>
      <c r="E804" s="4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4"/>
      <c r="R804" s="3"/>
      <c r="S804" s="3"/>
      <c r="T804" s="3"/>
      <c r="U804" s="3"/>
    </row>
    <row r="805">
      <c r="A805" s="3"/>
      <c r="B805" s="3"/>
      <c r="C805" s="3"/>
      <c r="D805" s="3"/>
      <c r="E805" s="4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4"/>
      <c r="R805" s="3"/>
      <c r="S805" s="3"/>
      <c r="T805" s="3"/>
      <c r="U805" s="3"/>
    </row>
    <row r="806">
      <c r="A806" s="3"/>
      <c r="B806" s="3"/>
      <c r="C806" s="3"/>
      <c r="D806" s="3"/>
      <c r="E806" s="4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4"/>
      <c r="R806" s="3"/>
      <c r="S806" s="3"/>
      <c r="T806" s="3"/>
      <c r="U806" s="3"/>
    </row>
    <row r="807">
      <c r="A807" s="3"/>
      <c r="B807" s="3"/>
      <c r="C807" s="3"/>
      <c r="D807" s="3"/>
      <c r="E807" s="4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4"/>
      <c r="R807" s="3"/>
      <c r="S807" s="3"/>
      <c r="T807" s="3"/>
      <c r="U807" s="3"/>
    </row>
    <row r="808">
      <c r="A808" s="3"/>
      <c r="B808" s="3"/>
      <c r="C808" s="3"/>
      <c r="D808" s="3"/>
      <c r="E808" s="4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4"/>
      <c r="R808" s="3"/>
      <c r="S808" s="3"/>
      <c r="T808" s="3"/>
      <c r="U808" s="3"/>
    </row>
    <row r="809">
      <c r="A809" s="3"/>
      <c r="B809" s="3"/>
      <c r="C809" s="3"/>
      <c r="D809" s="3"/>
      <c r="E809" s="4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4"/>
      <c r="R809" s="3"/>
      <c r="S809" s="3"/>
      <c r="T809" s="3"/>
      <c r="U809" s="3"/>
    </row>
    <row r="810">
      <c r="A810" s="3"/>
      <c r="B810" s="3"/>
      <c r="C810" s="3"/>
      <c r="D810" s="3"/>
      <c r="E810" s="4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4"/>
      <c r="R810" s="3"/>
      <c r="S810" s="3"/>
      <c r="T810" s="3"/>
      <c r="U810" s="3"/>
    </row>
    <row r="811">
      <c r="A811" s="3"/>
      <c r="B811" s="3"/>
      <c r="C811" s="3"/>
      <c r="D811" s="3"/>
      <c r="E811" s="4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4"/>
      <c r="R811" s="3"/>
      <c r="S811" s="3"/>
      <c r="T811" s="3"/>
      <c r="U811" s="3"/>
    </row>
    <row r="812">
      <c r="A812" s="3"/>
      <c r="B812" s="3"/>
      <c r="C812" s="3"/>
      <c r="D812" s="3"/>
      <c r="E812" s="4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4"/>
      <c r="R812" s="3"/>
      <c r="S812" s="3"/>
      <c r="T812" s="3"/>
      <c r="U812" s="3"/>
    </row>
    <row r="813">
      <c r="A813" s="3"/>
      <c r="B813" s="3"/>
      <c r="C813" s="3"/>
      <c r="D813" s="3"/>
      <c r="E813" s="4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4"/>
      <c r="R813" s="3"/>
      <c r="S813" s="3"/>
      <c r="T813" s="3"/>
      <c r="U813" s="3"/>
    </row>
    <row r="814">
      <c r="A814" s="3"/>
      <c r="B814" s="3"/>
      <c r="C814" s="3"/>
      <c r="D814" s="3"/>
      <c r="E814" s="4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4"/>
      <c r="R814" s="3"/>
      <c r="S814" s="3"/>
      <c r="T814" s="3"/>
      <c r="U814" s="3"/>
    </row>
    <row r="815">
      <c r="A815" s="3"/>
      <c r="B815" s="3"/>
      <c r="C815" s="3"/>
      <c r="D815" s="3"/>
      <c r="E815" s="4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4"/>
      <c r="R815" s="3"/>
      <c r="S815" s="3"/>
      <c r="T815" s="3"/>
      <c r="U815" s="3"/>
    </row>
    <row r="816">
      <c r="A816" s="3"/>
      <c r="B816" s="3"/>
      <c r="C816" s="3"/>
      <c r="D816" s="3"/>
      <c r="E816" s="4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4"/>
      <c r="R816" s="3"/>
      <c r="S816" s="3"/>
      <c r="T816" s="3"/>
      <c r="U816" s="3"/>
    </row>
    <row r="817">
      <c r="A817" s="3"/>
      <c r="B817" s="3"/>
      <c r="C817" s="3"/>
      <c r="D817" s="3"/>
      <c r="E817" s="4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4"/>
      <c r="R817" s="3"/>
      <c r="S817" s="3"/>
      <c r="T817" s="3"/>
      <c r="U817" s="3"/>
    </row>
    <row r="818">
      <c r="A818" s="3"/>
      <c r="B818" s="3"/>
      <c r="C818" s="3"/>
      <c r="D818" s="3"/>
      <c r="E818" s="4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4"/>
      <c r="R818" s="3"/>
      <c r="S818" s="3"/>
      <c r="T818" s="3"/>
      <c r="U818" s="3"/>
    </row>
    <row r="819">
      <c r="A819" s="3"/>
      <c r="B819" s="3"/>
      <c r="C819" s="3"/>
      <c r="D819" s="3"/>
      <c r="E819" s="4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4"/>
      <c r="R819" s="3"/>
      <c r="S819" s="3"/>
      <c r="T819" s="3"/>
      <c r="U819" s="3"/>
    </row>
    <row r="820">
      <c r="A820" s="3"/>
      <c r="B820" s="3"/>
      <c r="C820" s="3"/>
      <c r="D820" s="3"/>
      <c r="E820" s="4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4"/>
      <c r="R820" s="3"/>
      <c r="S820" s="3"/>
      <c r="T820" s="3"/>
      <c r="U820" s="3"/>
    </row>
    <row r="821">
      <c r="A821" s="3"/>
      <c r="B821" s="3"/>
      <c r="C821" s="3"/>
      <c r="D821" s="3"/>
      <c r="E821" s="4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4"/>
      <c r="R821" s="3"/>
      <c r="S821" s="3"/>
      <c r="T821" s="3"/>
      <c r="U821" s="3"/>
    </row>
    <row r="822">
      <c r="A822" s="3"/>
      <c r="B822" s="3"/>
      <c r="C822" s="3"/>
      <c r="D822" s="3"/>
      <c r="E822" s="4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4"/>
      <c r="R822" s="3"/>
      <c r="S822" s="3"/>
      <c r="T822" s="3"/>
      <c r="U822" s="3"/>
    </row>
    <row r="823">
      <c r="A823" s="3"/>
      <c r="B823" s="3"/>
      <c r="C823" s="3"/>
      <c r="D823" s="3"/>
      <c r="E823" s="4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4"/>
      <c r="R823" s="3"/>
      <c r="S823" s="3"/>
      <c r="T823" s="3"/>
      <c r="U823" s="3"/>
    </row>
    <row r="824">
      <c r="A824" s="3"/>
      <c r="B824" s="3"/>
      <c r="C824" s="3"/>
      <c r="D824" s="3"/>
      <c r="E824" s="4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4"/>
      <c r="R824" s="3"/>
      <c r="S824" s="3"/>
      <c r="T824" s="3"/>
      <c r="U824" s="3"/>
    </row>
    <row r="825">
      <c r="A825" s="3"/>
      <c r="B825" s="3"/>
      <c r="C825" s="3"/>
      <c r="D825" s="3"/>
      <c r="E825" s="4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4"/>
      <c r="R825" s="3"/>
      <c r="S825" s="3"/>
      <c r="T825" s="3"/>
      <c r="U825" s="3"/>
    </row>
    <row r="826">
      <c r="A826" s="3"/>
      <c r="B826" s="3"/>
      <c r="C826" s="3"/>
      <c r="D826" s="3"/>
      <c r="E826" s="4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4"/>
      <c r="R826" s="3"/>
      <c r="S826" s="3"/>
      <c r="T826" s="3"/>
      <c r="U826" s="3"/>
    </row>
    <row r="827">
      <c r="A827" s="3"/>
      <c r="B827" s="3"/>
      <c r="C827" s="3"/>
      <c r="D827" s="3"/>
      <c r="E827" s="4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4"/>
      <c r="R827" s="3"/>
      <c r="S827" s="3"/>
      <c r="T827" s="3"/>
      <c r="U827" s="3"/>
    </row>
    <row r="828">
      <c r="A828" s="3"/>
      <c r="B828" s="3"/>
      <c r="C828" s="3"/>
      <c r="D828" s="3"/>
      <c r="E828" s="4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4"/>
      <c r="R828" s="3"/>
      <c r="S828" s="3"/>
      <c r="T828" s="3"/>
      <c r="U828" s="3"/>
    </row>
    <row r="829">
      <c r="A829" s="3"/>
      <c r="B829" s="3"/>
      <c r="C829" s="3"/>
      <c r="D829" s="3"/>
      <c r="E829" s="4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4"/>
      <c r="R829" s="3"/>
      <c r="S829" s="3"/>
      <c r="T829" s="3"/>
      <c r="U829" s="3"/>
    </row>
    <row r="830">
      <c r="A830" s="3"/>
      <c r="B830" s="3"/>
      <c r="C830" s="3"/>
      <c r="D830" s="3"/>
      <c r="E830" s="4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4"/>
      <c r="R830" s="3"/>
      <c r="S830" s="3"/>
      <c r="T830" s="3"/>
      <c r="U830" s="3"/>
    </row>
    <row r="831">
      <c r="A831" s="3"/>
      <c r="B831" s="3"/>
      <c r="C831" s="3"/>
      <c r="D831" s="3"/>
      <c r="E831" s="4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4"/>
      <c r="R831" s="3"/>
      <c r="S831" s="3"/>
      <c r="T831" s="3"/>
      <c r="U831" s="3"/>
    </row>
    <row r="832">
      <c r="A832" s="3"/>
      <c r="B832" s="3"/>
      <c r="C832" s="3"/>
      <c r="D832" s="3"/>
      <c r="E832" s="4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4"/>
      <c r="R832" s="3"/>
      <c r="S832" s="3"/>
      <c r="T832" s="3"/>
      <c r="U832" s="3"/>
    </row>
    <row r="833">
      <c r="A833" s="3"/>
      <c r="B833" s="3"/>
      <c r="C833" s="3"/>
      <c r="D833" s="3"/>
      <c r="E833" s="4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4"/>
      <c r="R833" s="3"/>
      <c r="S833" s="3"/>
      <c r="T833" s="3"/>
      <c r="U833" s="3"/>
    </row>
    <row r="834">
      <c r="A834" s="3"/>
      <c r="B834" s="3"/>
      <c r="C834" s="3"/>
      <c r="D834" s="3"/>
      <c r="E834" s="4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4"/>
      <c r="R834" s="3"/>
      <c r="S834" s="3"/>
      <c r="T834" s="3"/>
      <c r="U834" s="3"/>
    </row>
    <row r="835">
      <c r="A835" s="3"/>
      <c r="B835" s="3"/>
      <c r="C835" s="3"/>
      <c r="D835" s="3"/>
      <c r="E835" s="4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4"/>
      <c r="R835" s="3"/>
      <c r="S835" s="3"/>
      <c r="T835" s="3"/>
      <c r="U835" s="3"/>
    </row>
    <row r="836">
      <c r="A836" s="3"/>
      <c r="B836" s="3"/>
      <c r="C836" s="3"/>
      <c r="D836" s="3"/>
      <c r="E836" s="4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4"/>
      <c r="R836" s="3"/>
      <c r="S836" s="3"/>
      <c r="T836" s="3"/>
      <c r="U836" s="3"/>
    </row>
    <row r="837">
      <c r="A837" s="3"/>
      <c r="B837" s="3"/>
      <c r="C837" s="3"/>
      <c r="D837" s="3"/>
      <c r="E837" s="4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4"/>
      <c r="R837" s="3"/>
      <c r="S837" s="3"/>
      <c r="T837" s="3"/>
      <c r="U837" s="3"/>
    </row>
    <row r="838">
      <c r="A838" s="3"/>
      <c r="B838" s="3"/>
      <c r="C838" s="3"/>
      <c r="D838" s="3"/>
      <c r="E838" s="4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4"/>
      <c r="R838" s="3"/>
      <c r="S838" s="3"/>
      <c r="T838" s="3"/>
      <c r="U838" s="3"/>
    </row>
    <row r="839">
      <c r="A839" s="3"/>
      <c r="B839" s="3"/>
      <c r="C839" s="3"/>
      <c r="D839" s="3"/>
      <c r="E839" s="4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4"/>
      <c r="R839" s="3"/>
      <c r="S839" s="3"/>
      <c r="T839" s="3"/>
      <c r="U839" s="3"/>
    </row>
    <row r="840">
      <c r="A840" s="3"/>
      <c r="B840" s="3"/>
      <c r="C840" s="3"/>
      <c r="D840" s="3"/>
      <c r="E840" s="4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4"/>
      <c r="R840" s="3"/>
      <c r="S840" s="3"/>
      <c r="T840" s="3"/>
      <c r="U840" s="3"/>
    </row>
    <row r="841">
      <c r="A841" s="3"/>
      <c r="B841" s="3"/>
      <c r="C841" s="3"/>
      <c r="D841" s="3"/>
      <c r="E841" s="4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4"/>
      <c r="R841" s="3"/>
      <c r="S841" s="3"/>
      <c r="T841" s="3"/>
      <c r="U841" s="3"/>
    </row>
    <row r="842">
      <c r="A842" s="3"/>
      <c r="B842" s="3"/>
      <c r="C842" s="3"/>
      <c r="D842" s="3"/>
      <c r="E842" s="4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4"/>
      <c r="R842" s="3"/>
      <c r="S842" s="3"/>
      <c r="T842" s="3"/>
      <c r="U842" s="3"/>
    </row>
    <row r="843">
      <c r="A843" s="3"/>
      <c r="B843" s="3"/>
      <c r="C843" s="3"/>
      <c r="D843" s="3"/>
      <c r="E843" s="4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4"/>
      <c r="R843" s="3"/>
      <c r="S843" s="3"/>
      <c r="T843" s="3"/>
      <c r="U843" s="3"/>
    </row>
    <row r="844">
      <c r="A844" s="3"/>
      <c r="B844" s="3"/>
      <c r="C844" s="3"/>
      <c r="D844" s="3"/>
      <c r="E844" s="4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4"/>
      <c r="R844" s="3"/>
      <c r="S844" s="3"/>
      <c r="T844" s="3"/>
      <c r="U844" s="3"/>
    </row>
    <row r="845">
      <c r="A845" s="3"/>
      <c r="B845" s="3"/>
      <c r="C845" s="3"/>
      <c r="D845" s="3"/>
      <c r="E845" s="4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4"/>
      <c r="R845" s="3"/>
      <c r="S845" s="3"/>
      <c r="T845" s="3"/>
      <c r="U845" s="3"/>
    </row>
    <row r="846">
      <c r="A846" s="3"/>
      <c r="B846" s="3"/>
      <c r="C846" s="3"/>
      <c r="D846" s="3"/>
      <c r="E846" s="4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4"/>
      <c r="R846" s="3"/>
      <c r="S846" s="3"/>
      <c r="T846" s="3"/>
      <c r="U846" s="3"/>
    </row>
    <row r="847">
      <c r="A847" s="3"/>
      <c r="B847" s="3"/>
      <c r="C847" s="3"/>
      <c r="D847" s="3"/>
      <c r="E847" s="4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4"/>
      <c r="R847" s="3"/>
      <c r="S847" s="3"/>
      <c r="T847" s="3"/>
      <c r="U847" s="3"/>
    </row>
    <row r="848">
      <c r="A848" s="3"/>
      <c r="B848" s="3"/>
      <c r="C848" s="3"/>
      <c r="D848" s="3"/>
      <c r="E848" s="4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4"/>
      <c r="R848" s="3"/>
      <c r="S848" s="3"/>
      <c r="T848" s="3"/>
      <c r="U848" s="3"/>
    </row>
    <row r="849">
      <c r="A849" s="3"/>
      <c r="B849" s="3"/>
      <c r="C849" s="3"/>
      <c r="D849" s="3"/>
      <c r="E849" s="4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4"/>
      <c r="R849" s="3"/>
      <c r="S849" s="3"/>
      <c r="T849" s="3"/>
      <c r="U849" s="3"/>
    </row>
    <row r="850">
      <c r="A850" s="3"/>
      <c r="B850" s="3"/>
      <c r="C850" s="3"/>
      <c r="D850" s="3"/>
      <c r="E850" s="4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4"/>
      <c r="R850" s="3"/>
      <c r="S850" s="3"/>
      <c r="T850" s="3"/>
      <c r="U850" s="3"/>
    </row>
    <row r="851">
      <c r="A851" s="3"/>
      <c r="B851" s="3"/>
      <c r="C851" s="3"/>
      <c r="D851" s="3"/>
      <c r="E851" s="4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4"/>
      <c r="R851" s="3"/>
      <c r="S851" s="3"/>
      <c r="T851" s="3"/>
      <c r="U851" s="3"/>
    </row>
    <row r="852">
      <c r="A852" s="3"/>
      <c r="B852" s="3"/>
      <c r="C852" s="3"/>
      <c r="D852" s="3"/>
      <c r="E852" s="4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4"/>
      <c r="R852" s="3"/>
      <c r="S852" s="3"/>
      <c r="T852" s="3"/>
      <c r="U852" s="3"/>
    </row>
    <row r="853">
      <c r="A853" s="3"/>
      <c r="B853" s="3"/>
      <c r="C853" s="3"/>
      <c r="D853" s="3"/>
      <c r="E853" s="4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4"/>
      <c r="R853" s="3"/>
      <c r="S853" s="3"/>
      <c r="T853" s="3"/>
      <c r="U853" s="3"/>
    </row>
    <row r="854">
      <c r="A854" s="3"/>
      <c r="B854" s="3"/>
      <c r="C854" s="3"/>
      <c r="D854" s="3"/>
      <c r="E854" s="4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4"/>
      <c r="R854" s="3"/>
      <c r="S854" s="3"/>
      <c r="T854" s="3"/>
      <c r="U854" s="3"/>
    </row>
    <row r="855">
      <c r="A855" s="3"/>
      <c r="B855" s="3"/>
      <c r="C855" s="3"/>
      <c r="D855" s="3"/>
      <c r="E855" s="4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4"/>
      <c r="R855" s="3"/>
      <c r="S855" s="3"/>
      <c r="T855" s="3"/>
      <c r="U855" s="3"/>
    </row>
    <row r="856">
      <c r="A856" s="3"/>
      <c r="B856" s="3"/>
      <c r="C856" s="3"/>
      <c r="D856" s="3"/>
      <c r="E856" s="4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4"/>
      <c r="R856" s="3"/>
      <c r="S856" s="3"/>
      <c r="T856" s="3"/>
      <c r="U856" s="3"/>
    </row>
    <row r="857">
      <c r="A857" s="3"/>
      <c r="B857" s="3"/>
      <c r="C857" s="3"/>
      <c r="D857" s="3"/>
      <c r="E857" s="4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4"/>
      <c r="R857" s="3"/>
      <c r="S857" s="3"/>
      <c r="T857" s="3"/>
      <c r="U857" s="3"/>
    </row>
    <row r="858">
      <c r="A858" s="3"/>
      <c r="B858" s="3"/>
      <c r="C858" s="3"/>
      <c r="D858" s="3"/>
      <c r="E858" s="4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4"/>
      <c r="R858" s="3"/>
      <c r="S858" s="3"/>
      <c r="T858" s="3"/>
      <c r="U858" s="3"/>
    </row>
    <row r="859">
      <c r="A859" s="3"/>
      <c r="B859" s="3"/>
      <c r="C859" s="3"/>
      <c r="D859" s="3"/>
      <c r="E859" s="4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4"/>
      <c r="R859" s="3"/>
      <c r="S859" s="3"/>
      <c r="T859" s="3"/>
      <c r="U859" s="3"/>
    </row>
    <row r="860">
      <c r="A860" s="3"/>
      <c r="B860" s="3"/>
      <c r="C860" s="3"/>
      <c r="D860" s="3"/>
      <c r="E860" s="4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4"/>
      <c r="R860" s="3"/>
      <c r="S860" s="3"/>
      <c r="T860" s="3"/>
      <c r="U860" s="3"/>
    </row>
    <row r="861">
      <c r="A861" s="3"/>
      <c r="B861" s="3"/>
      <c r="C861" s="3"/>
      <c r="D861" s="3"/>
      <c r="E861" s="4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4"/>
      <c r="R861" s="3"/>
      <c r="S861" s="3"/>
      <c r="T861" s="3"/>
      <c r="U861" s="3"/>
    </row>
    <row r="862">
      <c r="A862" s="3"/>
      <c r="B862" s="3"/>
      <c r="C862" s="3"/>
      <c r="D862" s="3"/>
      <c r="E862" s="4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4"/>
      <c r="R862" s="3"/>
      <c r="S862" s="3"/>
      <c r="T862" s="3"/>
      <c r="U862" s="3"/>
    </row>
    <row r="863">
      <c r="A863" s="3"/>
      <c r="B863" s="3"/>
      <c r="C863" s="3"/>
      <c r="D863" s="3"/>
      <c r="E863" s="4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4"/>
      <c r="R863" s="3"/>
      <c r="S863" s="3"/>
      <c r="T863" s="3"/>
      <c r="U863" s="3"/>
    </row>
    <row r="864">
      <c r="A864" s="3"/>
      <c r="B864" s="3"/>
      <c r="C864" s="3"/>
      <c r="D864" s="3"/>
      <c r="E864" s="4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4"/>
      <c r="R864" s="3"/>
      <c r="S864" s="3"/>
      <c r="T864" s="3"/>
      <c r="U864" s="3"/>
    </row>
    <row r="865">
      <c r="A865" s="3"/>
      <c r="B865" s="3"/>
      <c r="C865" s="3"/>
      <c r="D865" s="3"/>
      <c r="E865" s="4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4"/>
      <c r="R865" s="3"/>
      <c r="S865" s="3"/>
      <c r="T865" s="3"/>
      <c r="U865" s="3"/>
    </row>
    <row r="866">
      <c r="A866" s="3"/>
      <c r="B866" s="3"/>
      <c r="C866" s="3"/>
      <c r="D866" s="3"/>
      <c r="E866" s="4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4"/>
      <c r="R866" s="3"/>
      <c r="S866" s="3"/>
      <c r="T866" s="3"/>
      <c r="U866" s="3"/>
    </row>
    <row r="867">
      <c r="A867" s="3"/>
      <c r="B867" s="3"/>
      <c r="C867" s="3"/>
      <c r="D867" s="3"/>
      <c r="E867" s="4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4"/>
      <c r="R867" s="3"/>
      <c r="S867" s="3"/>
      <c r="T867" s="3"/>
      <c r="U867" s="3"/>
    </row>
    <row r="868">
      <c r="A868" s="3"/>
      <c r="B868" s="3"/>
      <c r="C868" s="3"/>
      <c r="D868" s="3"/>
      <c r="E868" s="4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4"/>
      <c r="R868" s="3"/>
      <c r="S868" s="3"/>
      <c r="T868" s="3"/>
      <c r="U868" s="3"/>
    </row>
    <row r="869">
      <c r="A869" s="3"/>
      <c r="B869" s="3"/>
      <c r="C869" s="3"/>
      <c r="D869" s="3"/>
      <c r="E869" s="4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4"/>
      <c r="R869" s="3"/>
      <c r="S869" s="3"/>
      <c r="T869" s="3"/>
      <c r="U869" s="3"/>
    </row>
    <row r="870">
      <c r="A870" s="3"/>
      <c r="B870" s="3"/>
      <c r="C870" s="3"/>
      <c r="D870" s="3"/>
      <c r="E870" s="4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4"/>
      <c r="R870" s="3"/>
      <c r="S870" s="3"/>
      <c r="T870" s="3"/>
      <c r="U870" s="3"/>
    </row>
    <row r="871">
      <c r="A871" s="3"/>
      <c r="B871" s="3"/>
      <c r="C871" s="3"/>
      <c r="D871" s="3"/>
      <c r="E871" s="4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4"/>
      <c r="R871" s="3"/>
      <c r="S871" s="3"/>
      <c r="T871" s="3"/>
      <c r="U871" s="3"/>
    </row>
    <row r="872">
      <c r="A872" s="3"/>
      <c r="B872" s="3"/>
      <c r="C872" s="3"/>
      <c r="D872" s="3"/>
      <c r="E872" s="4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4"/>
      <c r="R872" s="3"/>
      <c r="S872" s="3"/>
      <c r="T872" s="3"/>
      <c r="U872" s="3"/>
    </row>
    <row r="873">
      <c r="A873" s="3"/>
      <c r="B873" s="3"/>
      <c r="C873" s="3"/>
      <c r="D873" s="3"/>
      <c r="E873" s="4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4"/>
      <c r="R873" s="3"/>
      <c r="S873" s="3"/>
      <c r="T873" s="3"/>
      <c r="U873" s="3"/>
    </row>
    <row r="874">
      <c r="A874" s="3"/>
      <c r="B874" s="3"/>
      <c r="C874" s="3"/>
      <c r="D874" s="3"/>
      <c r="E874" s="4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4"/>
      <c r="R874" s="3"/>
      <c r="S874" s="3"/>
      <c r="T874" s="3"/>
      <c r="U874" s="3"/>
    </row>
    <row r="875">
      <c r="A875" s="3"/>
      <c r="B875" s="3"/>
      <c r="C875" s="3"/>
      <c r="D875" s="3"/>
      <c r="E875" s="4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4"/>
      <c r="R875" s="3"/>
      <c r="S875" s="3"/>
      <c r="T875" s="3"/>
      <c r="U875" s="3"/>
    </row>
    <row r="876">
      <c r="A876" s="3"/>
      <c r="B876" s="3"/>
      <c r="C876" s="3"/>
      <c r="D876" s="3"/>
      <c r="E876" s="4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4"/>
      <c r="R876" s="3"/>
      <c r="S876" s="3"/>
      <c r="T876" s="3"/>
      <c r="U876" s="3"/>
    </row>
    <row r="877">
      <c r="A877" s="3"/>
      <c r="B877" s="3"/>
      <c r="C877" s="3"/>
      <c r="D877" s="3"/>
      <c r="E877" s="4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4"/>
      <c r="R877" s="3"/>
      <c r="S877" s="3"/>
      <c r="T877" s="3"/>
      <c r="U877" s="3"/>
    </row>
    <row r="878">
      <c r="A878" s="3"/>
      <c r="B878" s="3"/>
      <c r="C878" s="3"/>
      <c r="D878" s="3"/>
      <c r="E878" s="4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4"/>
      <c r="R878" s="3"/>
      <c r="S878" s="3"/>
      <c r="T878" s="3"/>
      <c r="U878" s="3"/>
    </row>
    <row r="879">
      <c r="A879" s="3"/>
      <c r="B879" s="3"/>
      <c r="C879" s="3"/>
      <c r="D879" s="3"/>
      <c r="E879" s="4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4"/>
      <c r="R879" s="3"/>
      <c r="S879" s="3"/>
      <c r="T879" s="3"/>
      <c r="U879" s="3"/>
    </row>
    <row r="880">
      <c r="A880" s="3"/>
      <c r="B880" s="3"/>
      <c r="C880" s="3"/>
      <c r="D880" s="3"/>
      <c r="E880" s="4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4"/>
      <c r="R880" s="3"/>
      <c r="S880" s="3"/>
      <c r="T880" s="3"/>
      <c r="U880" s="3"/>
    </row>
    <row r="881">
      <c r="A881" s="3"/>
      <c r="B881" s="3"/>
      <c r="C881" s="3"/>
      <c r="D881" s="3"/>
      <c r="E881" s="4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4"/>
      <c r="R881" s="3"/>
      <c r="S881" s="3"/>
      <c r="T881" s="3"/>
      <c r="U881" s="3"/>
    </row>
    <row r="882">
      <c r="A882" s="3"/>
      <c r="B882" s="3"/>
      <c r="C882" s="3"/>
      <c r="D882" s="3"/>
      <c r="E882" s="4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4"/>
      <c r="R882" s="3"/>
      <c r="S882" s="3"/>
      <c r="T882" s="3"/>
      <c r="U882" s="3"/>
    </row>
    <row r="883">
      <c r="A883" s="3"/>
      <c r="B883" s="3"/>
      <c r="C883" s="3"/>
      <c r="D883" s="3"/>
      <c r="E883" s="4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4"/>
      <c r="R883" s="3"/>
      <c r="S883" s="3"/>
      <c r="T883" s="3"/>
      <c r="U883" s="3"/>
    </row>
    <row r="884">
      <c r="A884" s="3"/>
      <c r="B884" s="3"/>
      <c r="C884" s="3"/>
      <c r="D884" s="3"/>
      <c r="E884" s="4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4"/>
      <c r="R884" s="3"/>
      <c r="S884" s="3"/>
      <c r="T884" s="3"/>
      <c r="U884" s="3"/>
    </row>
    <row r="885">
      <c r="A885" s="3"/>
      <c r="B885" s="3"/>
      <c r="C885" s="3"/>
      <c r="D885" s="3"/>
      <c r="E885" s="4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4"/>
      <c r="R885" s="3"/>
      <c r="S885" s="3"/>
      <c r="T885" s="3"/>
      <c r="U885" s="3"/>
    </row>
    <row r="886">
      <c r="A886" s="3"/>
      <c r="B886" s="3"/>
      <c r="C886" s="3"/>
      <c r="D886" s="3"/>
      <c r="E886" s="4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4"/>
      <c r="R886" s="3"/>
      <c r="S886" s="3"/>
      <c r="T886" s="3"/>
      <c r="U886" s="3"/>
    </row>
    <row r="887">
      <c r="A887" s="3"/>
      <c r="B887" s="3"/>
      <c r="C887" s="3"/>
      <c r="D887" s="3"/>
      <c r="E887" s="4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4"/>
      <c r="R887" s="3"/>
      <c r="S887" s="3"/>
      <c r="T887" s="3"/>
      <c r="U887" s="3"/>
    </row>
    <row r="888">
      <c r="A888" s="3"/>
      <c r="B888" s="3"/>
      <c r="C888" s="3"/>
      <c r="D888" s="3"/>
      <c r="E888" s="4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4"/>
      <c r="R888" s="3"/>
      <c r="S888" s="3"/>
      <c r="T888" s="3"/>
      <c r="U888" s="3"/>
    </row>
    <row r="889">
      <c r="A889" s="3"/>
      <c r="B889" s="3"/>
      <c r="C889" s="3"/>
      <c r="D889" s="3"/>
      <c r="E889" s="4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4"/>
      <c r="R889" s="3"/>
      <c r="S889" s="3"/>
      <c r="T889" s="3"/>
      <c r="U889" s="3"/>
    </row>
    <row r="890">
      <c r="A890" s="3"/>
      <c r="B890" s="3"/>
      <c r="C890" s="3"/>
      <c r="D890" s="3"/>
      <c r="E890" s="4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4"/>
      <c r="R890" s="3"/>
      <c r="S890" s="3"/>
      <c r="T890" s="3"/>
      <c r="U890" s="3"/>
    </row>
    <row r="891">
      <c r="A891" s="3"/>
      <c r="B891" s="3"/>
      <c r="C891" s="3"/>
      <c r="D891" s="3"/>
      <c r="E891" s="4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4"/>
      <c r="R891" s="3"/>
      <c r="S891" s="3"/>
      <c r="T891" s="3"/>
      <c r="U891" s="3"/>
    </row>
    <row r="892">
      <c r="A892" s="3"/>
      <c r="B892" s="3"/>
      <c r="C892" s="3"/>
      <c r="D892" s="3"/>
      <c r="E892" s="4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4"/>
      <c r="R892" s="3"/>
      <c r="S892" s="3"/>
      <c r="T892" s="3"/>
      <c r="U892" s="3"/>
    </row>
    <row r="893">
      <c r="A893" s="3"/>
      <c r="B893" s="3"/>
      <c r="C893" s="3"/>
      <c r="D893" s="3"/>
      <c r="E893" s="4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4"/>
      <c r="R893" s="3"/>
      <c r="S893" s="3"/>
      <c r="T893" s="3"/>
      <c r="U893" s="3"/>
    </row>
    <row r="894">
      <c r="A894" s="3"/>
      <c r="B894" s="3"/>
      <c r="C894" s="3"/>
      <c r="D894" s="3"/>
      <c r="E894" s="4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4"/>
      <c r="R894" s="3"/>
      <c r="S894" s="3"/>
      <c r="T894" s="3"/>
      <c r="U894" s="3"/>
    </row>
    <row r="895">
      <c r="A895" s="3"/>
      <c r="B895" s="3"/>
      <c r="C895" s="3"/>
      <c r="D895" s="3"/>
      <c r="E895" s="4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4"/>
      <c r="R895" s="3"/>
      <c r="S895" s="3"/>
      <c r="T895" s="3"/>
      <c r="U895" s="3"/>
    </row>
    <row r="896">
      <c r="A896" s="3"/>
      <c r="B896" s="3"/>
      <c r="C896" s="3"/>
      <c r="D896" s="3"/>
      <c r="E896" s="4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4"/>
      <c r="R896" s="3"/>
      <c r="S896" s="3"/>
      <c r="T896" s="3"/>
      <c r="U896" s="3"/>
    </row>
    <row r="897">
      <c r="A897" s="3"/>
      <c r="B897" s="3"/>
      <c r="C897" s="3"/>
      <c r="D897" s="3"/>
      <c r="E897" s="4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4"/>
      <c r="R897" s="3"/>
      <c r="S897" s="3"/>
      <c r="T897" s="3"/>
      <c r="U897" s="3"/>
    </row>
    <row r="898">
      <c r="A898" s="3"/>
      <c r="B898" s="3"/>
      <c r="C898" s="3"/>
      <c r="D898" s="3"/>
      <c r="E898" s="4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4"/>
      <c r="R898" s="3"/>
      <c r="S898" s="3"/>
      <c r="T898" s="3"/>
      <c r="U898" s="3"/>
    </row>
    <row r="899">
      <c r="A899" s="3"/>
      <c r="B899" s="3"/>
      <c r="C899" s="3"/>
      <c r="D899" s="3"/>
      <c r="E899" s="4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4"/>
      <c r="R899" s="3"/>
      <c r="S899" s="3"/>
      <c r="T899" s="3"/>
      <c r="U899" s="3"/>
    </row>
    <row r="900">
      <c r="A900" s="3"/>
      <c r="B900" s="3"/>
      <c r="C900" s="3"/>
      <c r="D900" s="3"/>
      <c r="E900" s="4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4"/>
      <c r="R900" s="3"/>
      <c r="S900" s="3"/>
      <c r="T900" s="3"/>
      <c r="U900" s="3"/>
    </row>
    <row r="901">
      <c r="A901" s="3"/>
      <c r="B901" s="3"/>
      <c r="C901" s="3"/>
      <c r="D901" s="3"/>
      <c r="E901" s="4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4"/>
      <c r="R901" s="3"/>
      <c r="S901" s="3"/>
      <c r="T901" s="3"/>
      <c r="U901" s="3"/>
    </row>
    <row r="902">
      <c r="A902" s="3"/>
      <c r="B902" s="3"/>
      <c r="C902" s="3"/>
      <c r="D902" s="3"/>
      <c r="E902" s="4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4"/>
      <c r="R902" s="3"/>
      <c r="S902" s="3"/>
      <c r="T902" s="3"/>
      <c r="U902" s="3"/>
    </row>
    <row r="903">
      <c r="A903" s="3"/>
      <c r="B903" s="3"/>
      <c r="C903" s="3"/>
      <c r="D903" s="3"/>
      <c r="E903" s="4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4"/>
      <c r="R903" s="3"/>
      <c r="S903" s="3"/>
      <c r="T903" s="3"/>
      <c r="U903" s="3"/>
    </row>
    <row r="904">
      <c r="A904" s="3"/>
      <c r="B904" s="3"/>
      <c r="C904" s="3"/>
      <c r="D904" s="3"/>
      <c r="E904" s="4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4"/>
      <c r="R904" s="3"/>
      <c r="S904" s="3"/>
      <c r="T904" s="3"/>
      <c r="U904" s="3"/>
    </row>
    <row r="905">
      <c r="A905" s="3"/>
      <c r="B905" s="3"/>
      <c r="C905" s="3"/>
      <c r="D905" s="3"/>
      <c r="E905" s="4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4"/>
      <c r="R905" s="3"/>
      <c r="S905" s="3"/>
      <c r="T905" s="3"/>
      <c r="U905" s="3"/>
    </row>
    <row r="906">
      <c r="A906" s="3"/>
      <c r="B906" s="3"/>
      <c r="C906" s="3"/>
      <c r="D906" s="3"/>
      <c r="E906" s="4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4"/>
      <c r="R906" s="3"/>
      <c r="S906" s="3"/>
      <c r="T906" s="3"/>
      <c r="U906" s="3"/>
    </row>
    <row r="907">
      <c r="A907" s="3"/>
      <c r="B907" s="3"/>
      <c r="C907" s="3"/>
      <c r="D907" s="3"/>
      <c r="E907" s="4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4"/>
      <c r="R907" s="3"/>
      <c r="S907" s="3"/>
      <c r="T907" s="3"/>
      <c r="U907" s="3"/>
    </row>
    <row r="908">
      <c r="A908" s="3"/>
      <c r="B908" s="3"/>
      <c r="C908" s="3"/>
      <c r="D908" s="3"/>
      <c r="E908" s="4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4"/>
      <c r="R908" s="3"/>
      <c r="S908" s="3"/>
      <c r="T908" s="3"/>
      <c r="U908" s="3"/>
    </row>
    <row r="909">
      <c r="A909" s="3"/>
      <c r="B909" s="3"/>
      <c r="C909" s="3"/>
      <c r="D909" s="3"/>
      <c r="E909" s="4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4"/>
      <c r="R909" s="3"/>
      <c r="S909" s="3"/>
      <c r="T909" s="3"/>
      <c r="U909" s="3"/>
    </row>
    <row r="910">
      <c r="A910" s="3"/>
      <c r="B910" s="3"/>
      <c r="C910" s="3"/>
      <c r="D910" s="3"/>
      <c r="E910" s="4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4"/>
      <c r="R910" s="3"/>
      <c r="S910" s="3"/>
      <c r="T910" s="3"/>
      <c r="U910" s="3"/>
    </row>
    <row r="911">
      <c r="A911" s="3"/>
      <c r="B911" s="3"/>
      <c r="C911" s="3"/>
      <c r="D911" s="3"/>
      <c r="E911" s="4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4"/>
      <c r="R911" s="3"/>
      <c r="S911" s="3"/>
      <c r="T911" s="3"/>
      <c r="U911" s="3"/>
    </row>
    <row r="912">
      <c r="A912" s="3"/>
      <c r="B912" s="3"/>
      <c r="C912" s="3"/>
      <c r="D912" s="3"/>
      <c r="E912" s="4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4"/>
      <c r="R912" s="3"/>
      <c r="S912" s="3"/>
      <c r="T912" s="3"/>
      <c r="U912" s="3"/>
    </row>
    <row r="913">
      <c r="A913" s="3"/>
      <c r="B913" s="3"/>
      <c r="C913" s="3"/>
      <c r="D913" s="3"/>
      <c r="E913" s="4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4"/>
      <c r="R913" s="3"/>
      <c r="S913" s="3"/>
      <c r="T913" s="3"/>
      <c r="U913" s="3"/>
    </row>
    <row r="914">
      <c r="A914" s="3"/>
      <c r="B914" s="3"/>
      <c r="C914" s="3"/>
      <c r="D914" s="3"/>
      <c r="E914" s="4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4"/>
      <c r="R914" s="3"/>
      <c r="S914" s="3"/>
      <c r="T914" s="3"/>
      <c r="U914" s="3"/>
    </row>
    <row r="915">
      <c r="A915" s="3"/>
      <c r="B915" s="3"/>
      <c r="C915" s="3"/>
      <c r="D915" s="3"/>
      <c r="E915" s="4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4"/>
      <c r="R915" s="3"/>
      <c r="S915" s="3"/>
      <c r="T915" s="3"/>
      <c r="U915" s="3"/>
    </row>
    <row r="916">
      <c r="A916" s="3"/>
      <c r="B916" s="3"/>
      <c r="C916" s="3"/>
      <c r="D916" s="3"/>
      <c r="E916" s="4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4"/>
      <c r="R916" s="3"/>
      <c r="S916" s="3"/>
      <c r="T916" s="3"/>
      <c r="U916" s="3"/>
    </row>
    <row r="917">
      <c r="A917" s="3"/>
      <c r="B917" s="3"/>
      <c r="C917" s="3"/>
      <c r="D917" s="3"/>
      <c r="E917" s="4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4"/>
      <c r="R917" s="3"/>
      <c r="S917" s="3"/>
      <c r="T917" s="3"/>
      <c r="U917" s="3"/>
    </row>
    <row r="918">
      <c r="A918" s="3"/>
      <c r="B918" s="3"/>
      <c r="C918" s="3"/>
      <c r="D918" s="3"/>
      <c r="E918" s="4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4"/>
      <c r="R918" s="3"/>
      <c r="S918" s="3"/>
      <c r="T918" s="3"/>
      <c r="U918" s="3"/>
    </row>
    <row r="919">
      <c r="A919" s="3"/>
      <c r="B919" s="3"/>
      <c r="C919" s="3"/>
      <c r="D919" s="3"/>
      <c r="E919" s="4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4"/>
      <c r="R919" s="3"/>
      <c r="S919" s="3"/>
      <c r="T919" s="3"/>
      <c r="U919" s="3"/>
    </row>
    <row r="920">
      <c r="A920" s="3"/>
      <c r="B920" s="3"/>
      <c r="C920" s="3"/>
      <c r="D920" s="3"/>
      <c r="E920" s="4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4"/>
      <c r="R920" s="3"/>
      <c r="S920" s="3"/>
      <c r="T920" s="3"/>
      <c r="U920" s="3"/>
    </row>
    <row r="921">
      <c r="A921" s="3"/>
      <c r="B921" s="3"/>
      <c r="C921" s="3"/>
      <c r="D921" s="3"/>
      <c r="E921" s="4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4"/>
      <c r="R921" s="3"/>
      <c r="S921" s="3"/>
      <c r="T921" s="3"/>
      <c r="U921" s="3"/>
    </row>
    <row r="922">
      <c r="A922" s="3"/>
      <c r="B922" s="3"/>
      <c r="C922" s="3"/>
      <c r="D922" s="3"/>
      <c r="E922" s="4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4"/>
      <c r="R922" s="3"/>
      <c r="S922" s="3"/>
      <c r="T922" s="3"/>
      <c r="U922" s="3"/>
    </row>
    <row r="923">
      <c r="A923" s="3"/>
      <c r="B923" s="3"/>
      <c r="C923" s="3"/>
      <c r="D923" s="3"/>
      <c r="E923" s="4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4"/>
      <c r="R923" s="3"/>
      <c r="S923" s="3"/>
      <c r="T923" s="3"/>
      <c r="U923" s="3"/>
    </row>
    <row r="924">
      <c r="A924" s="3"/>
      <c r="B924" s="3"/>
      <c r="C924" s="3"/>
      <c r="D924" s="3"/>
      <c r="E924" s="4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4"/>
      <c r="R924" s="3"/>
      <c r="S924" s="3"/>
      <c r="T924" s="3"/>
      <c r="U924" s="3"/>
    </row>
    <row r="925">
      <c r="A925" s="3"/>
      <c r="B925" s="3"/>
      <c r="C925" s="3"/>
      <c r="D925" s="3"/>
      <c r="E925" s="4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4"/>
      <c r="R925" s="3"/>
      <c r="S925" s="3"/>
      <c r="T925" s="3"/>
      <c r="U925" s="3"/>
    </row>
    <row r="926">
      <c r="A926" s="3"/>
      <c r="B926" s="3"/>
      <c r="C926" s="3"/>
      <c r="D926" s="3"/>
      <c r="E926" s="4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4"/>
      <c r="R926" s="3"/>
      <c r="S926" s="3"/>
      <c r="T926" s="3"/>
      <c r="U926" s="3"/>
    </row>
    <row r="927">
      <c r="A927" s="3"/>
      <c r="B927" s="3"/>
      <c r="C927" s="3"/>
      <c r="D927" s="3"/>
      <c r="E927" s="4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4"/>
      <c r="R927" s="3"/>
      <c r="S927" s="3"/>
      <c r="T927" s="3"/>
      <c r="U927" s="3"/>
    </row>
    <row r="928">
      <c r="A928" s="3"/>
      <c r="B928" s="3"/>
      <c r="C928" s="3"/>
      <c r="D928" s="3"/>
      <c r="E928" s="4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4"/>
      <c r="R928" s="3"/>
      <c r="S928" s="3"/>
      <c r="T928" s="3"/>
      <c r="U928" s="3"/>
    </row>
    <row r="929">
      <c r="A929" s="3"/>
      <c r="B929" s="3"/>
      <c r="C929" s="3"/>
      <c r="D929" s="3"/>
      <c r="E929" s="4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4"/>
      <c r="R929" s="3"/>
      <c r="S929" s="3"/>
      <c r="T929" s="3"/>
      <c r="U929" s="3"/>
    </row>
    <row r="930">
      <c r="A930" s="3"/>
      <c r="B930" s="3"/>
      <c r="C930" s="3"/>
      <c r="D930" s="3"/>
      <c r="E930" s="4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4"/>
      <c r="R930" s="3"/>
      <c r="S930" s="3"/>
      <c r="T930" s="3"/>
      <c r="U930" s="3"/>
    </row>
    <row r="931">
      <c r="A931" s="3"/>
      <c r="B931" s="3"/>
      <c r="C931" s="3"/>
      <c r="D931" s="3"/>
      <c r="E931" s="4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4"/>
      <c r="R931" s="3"/>
      <c r="S931" s="3"/>
      <c r="T931" s="3"/>
      <c r="U931" s="3"/>
    </row>
    <row r="932">
      <c r="A932" s="3"/>
      <c r="B932" s="3"/>
      <c r="C932" s="3"/>
      <c r="D932" s="3"/>
      <c r="E932" s="4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4"/>
      <c r="R932" s="3"/>
      <c r="S932" s="3"/>
      <c r="T932" s="3"/>
      <c r="U932" s="3"/>
    </row>
    <row r="933">
      <c r="A933" s="3"/>
      <c r="B933" s="3"/>
      <c r="C933" s="3"/>
      <c r="D933" s="3"/>
      <c r="E933" s="4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4"/>
      <c r="R933" s="3"/>
      <c r="S933" s="3"/>
      <c r="T933" s="3"/>
      <c r="U933" s="3"/>
    </row>
    <row r="934">
      <c r="A934" s="3"/>
      <c r="B934" s="3"/>
      <c r="C934" s="3"/>
      <c r="D934" s="3"/>
      <c r="E934" s="4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4"/>
      <c r="R934" s="3"/>
      <c r="S934" s="3"/>
      <c r="T934" s="3"/>
      <c r="U934" s="3"/>
    </row>
    <row r="935">
      <c r="A935" s="3"/>
      <c r="B935" s="3"/>
      <c r="C935" s="3"/>
      <c r="D935" s="3"/>
      <c r="E935" s="4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4"/>
      <c r="R935" s="3"/>
      <c r="S935" s="3"/>
      <c r="T935" s="3"/>
      <c r="U935" s="3"/>
    </row>
    <row r="936">
      <c r="A936" s="3"/>
      <c r="B936" s="3"/>
      <c r="C936" s="3"/>
      <c r="D936" s="3"/>
      <c r="E936" s="4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4"/>
      <c r="R936" s="3"/>
      <c r="S936" s="3"/>
      <c r="T936" s="3"/>
      <c r="U936" s="3"/>
    </row>
    <row r="937">
      <c r="A937" s="3"/>
      <c r="B937" s="3"/>
      <c r="C937" s="3"/>
      <c r="D937" s="3"/>
      <c r="E937" s="4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4"/>
      <c r="R937" s="3"/>
      <c r="S937" s="3"/>
      <c r="T937" s="3"/>
      <c r="U937" s="3"/>
    </row>
    <row r="938">
      <c r="A938" s="3"/>
      <c r="B938" s="3"/>
      <c r="C938" s="3"/>
      <c r="D938" s="3"/>
      <c r="E938" s="4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4"/>
      <c r="R938" s="3"/>
      <c r="S938" s="3"/>
      <c r="T938" s="3"/>
      <c r="U938" s="3"/>
    </row>
    <row r="939">
      <c r="A939" s="3"/>
      <c r="B939" s="3"/>
      <c r="C939" s="3"/>
      <c r="D939" s="3"/>
      <c r="E939" s="4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4"/>
      <c r="R939" s="3"/>
      <c r="S939" s="3"/>
      <c r="T939" s="3"/>
      <c r="U939" s="3"/>
    </row>
    <row r="940">
      <c r="A940" s="3"/>
      <c r="B940" s="3"/>
      <c r="C940" s="3"/>
      <c r="D940" s="3"/>
      <c r="E940" s="4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4"/>
      <c r="R940" s="3"/>
      <c r="S940" s="3"/>
      <c r="T940" s="3"/>
      <c r="U940" s="3"/>
    </row>
    <row r="941">
      <c r="A941" s="3"/>
      <c r="B941" s="3"/>
      <c r="C941" s="3"/>
      <c r="D941" s="3"/>
      <c r="E941" s="4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4"/>
      <c r="R941" s="3"/>
      <c r="S941" s="3"/>
      <c r="T941" s="3"/>
      <c r="U941" s="3"/>
    </row>
    <row r="942">
      <c r="A942" s="3"/>
      <c r="B942" s="3"/>
      <c r="C942" s="3"/>
      <c r="D942" s="3"/>
      <c r="E942" s="4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4"/>
      <c r="R942" s="3"/>
      <c r="S942" s="3"/>
      <c r="T942" s="3"/>
      <c r="U942" s="3"/>
    </row>
    <row r="943">
      <c r="A943" s="3"/>
      <c r="B943" s="3"/>
      <c r="C943" s="3"/>
      <c r="D943" s="3"/>
      <c r="E943" s="4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4"/>
      <c r="R943" s="3"/>
      <c r="S943" s="3"/>
      <c r="T943" s="3"/>
      <c r="U943" s="3"/>
    </row>
    <row r="944">
      <c r="A944" s="3"/>
      <c r="B944" s="3"/>
      <c r="C944" s="3"/>
      <c r="D944" s="3"/>
      <c r="E944" s="4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4"/>
      <c r="R944" s="3"/>
      <c r="S944" s="3"/>
      <c r="T944" s="3"/>
      <c r="U944" s="3"/>
    </row>
    <row r="945">
      <c r="A945" s="3"/>
      <c r="B945" s="3"/>
      <c r="C945" s="3"/>
      <c r="D945" s="3"/>
      <c r="E945" s="4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4"/>
      <c r="R945" s="3"/>
      <c r="S945" s="3"/>
      <c r="T945" s="3"/>
      <c r="U945" s="3"/>
    </row>
    <row r="946">
      <c r="A946" s="3"/>
      <c r="B946" s="3"/>
      <c r="C946" s="3"/>
      <c r="D946" s="3"/>
      <c r="E946" s="4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4"/>
      <c r="R946" s="3"/>
      <c r="S946" s="3"/>
      <c r="T946" s="3"/>
      <c r="U946" s="3"/>
    </row>
    <row r="947">
      <c r="A947" s="3"/>
      <c r="B947" s="3"/>
      <c r="C947" s="3"/>
      <c r="D947" s="3"/>
      <c r="E947" s="4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4"/>
      <c r="R947" s="3"/>
      <c r="S947" s="3"/>
      <c r="T947" s="3"/>
      <c r="U947" s="3"/>
    </row>
    <row r="948">
      <c r="A948" s="3"/>
      <c r="B948" s="3"/>
      <c r="C948" s="3"/>
      <c r="D948" s="3"/>
      <c r="E948" s="4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4"/>
      <c r="R948" s="3"/>
      <c r="S948" s="3"/>
      <c r="T948" s="3"/>
      <c r="U948" s="3"/>
    </row>
    <row r="949">
      <c r="A949" s="3"/>
      <c r="B949" s="3"/>
      <c r="C949" s="3"/>
      <c r="D949" s="3"/>
      <c r="E949" s="4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4"/>
      <c r="R949" s="3"/>
      <c r="S949" s="3"/>
      <c r="T949" s="3"/>
      <c r="U949" s="3"/>
    </row>
    <row r="950">
      <c r="A950" s="3"/>
      <c r="B950" s="3"/>
      <c r="C950" s="3"/>
      <c r="D950" s="3"/>
      <c r="E950" s="4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4"/>
      <c r="R950" s="3"/>
      <c r="S950" s="3"/>
      <c r="T950" s="3"/>
      <c r="U950" s="3"/>
    </row>
    <row r="951">
      <c r="A951" s="3"/>
      <c r="B951" s="3"/>
      <c r="C951" s="3"/>
      <c r="D951" s="3"/>
      <c r="E951" s="4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4"/>
      <c r="R951" s="3"/>
      <c r="S951" s="3"/>
      <c r="T951" s="3"/>
      <c r="U951" s="3"/>
    </row>
    <row r="952">
      <c r="A952" s="3"/>
      <c r="B952" s="3"/>
      <c r="C952" s="3"/>
      <c r="D952" s="3"/>
      <c r="E952" s="4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4"/>
      <c r="R952" s="3"/>
      <c r="S952" s="3"/>
      <c r="T952" s="3"/>
      <c r="U952" s="3"/>
    </row>
    <row r="953">
      <c r="A953" s="3"/>
      <c r="B953" s="3"/>
      <c r="C953" s="3"/>
      <c r="D953" s="3"/>
      <c r="E953" s="4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4"/>
      <c r="R953" s="3"/>
      <c r="S953" s="3"/>
      <c r="T953" s="3"/>
      <c r="U953" s="3"/>
    </row>
    <row r="954">
      <c r="A954" s="3"/>
      <c r="B954" s="3"/>
      <c r="C954" s="3"/>
      <c r="D954" s="3"/>
      <c r="E954" s="4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4"/>
      <c r="R954" s="3"/>
      <c r="S954" s="3"/>
      <c r="T954" s="3"/>
      <c r="U954" s="3"/>
    </row>
    <row r="955">
      <c r="A955" s="3"/>
      <c r="B955" s="3"/>
      <c r="C955" s="3"/>
      <c r="D955" s="3"/>
      <c r="E955" s="4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4"/>
      <c r="R955" s="3"/>
      <c r="S955" s="3"/>
      <c r="T955" s="3"/>
      <c r="U955" s="3"/>
    </row>
    <row r="956">
      <c r="A956" s="3"/>
      <c r="B956" s="3"/>
      <c r="C956" s="3"/>
      <c r="D956" s="3"/>
      <c r="E956" s="4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4"/>
      <c r="R956" s="3"/>
      <c r="S956" s="3"/>
      <c r="T956" s="3"/>
      <c r="U956" s="3"/>
    </row>
    <row r="957">
      <c r="A957" s="3"/>
      <c r="B957" s="3"/>
      <c r="C957" s="3"/>
      <c r="D957" s="3"/>
      <c r="E957" s="4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4"/>
      <c r="R957" s="3"/>
      <c r="S957" s="3"/>
      <c r="T957" s="3"/>
      <c r="U957" s="3"/>
    </row>
    <row r="958">
      <c r="A958" s="3"/>
      <c r="B958" s="3"/>
      <c r="C958" s="3"/>
      <c r="D958" s="3"/>
      <c r="E958" s="4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4"/>
      <c r="R958" s="3"/>
      <c r="S958" s="3"/>
      <c r="T958" s="3"/>
      <c r="U958" s="3"/>
    </row>
    <row r="959">
      <c r="A959" s="3"/>
      <c r="B959" s="3"/>
      <c r="C959" s="3"/>
      <c r="D959" s="3"/>
      <c r="E959" s="4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4"/>
      <c r="R959" s="3"/>
      <c r="S959" s="3"/>
      <c r="T959" s="3"/>
      <c r="U959" s="3"/>
    </row>
    <row r="960">
      <c r="A960" s="3"/>
      <c r="B960" s="3"/>
      <c r="C960" s="3"/>
      <c r="D960" s="3"/>
      <c r="E960" s="4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4"/>
      <c r="R960" s="3"/>
      <c r="S960" s="3"/>
      <c r="T960" s="3"/>
      <c r="U960" s="3"/>
    </row>
    <row r="961">
      <c r="A961" s="3"/>
      <c r="B961" s="3"/>
      <c r="C961" s="3"/>
      <c r="D961" s="3"/>
      <c r="E961" s="4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4"/>
      <c r="R961" s="3"/>
      <c r="S961" s="3"/>
      <c r="T961" s="3"/>
      <c r="U961" s="3"/>
    </row>
    <row r="962">
      <c r="A962" s="3"/>
      <c r="B962" s="3"/>
      <c r="C962" s="3"/>
      <c r="D962" s="3"/>
      <c r="E962" s="4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4"/>
      <c r="R962" s="3"/>
      <c r="S962" s="3"/>
      <c r="T962" s="3"/>
      <c r="U962" s="3"/>
    </row>
    <row r="963">
      <c r="A963" s="3"/>
      <c r="B963" s="3"/>
      <c r="C963" s="3"/>
      <c r="D963" s="3"/>
      <c r="E963" s="4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4"/>
      <c r="R963" s="3"/>
      <c r="S963" s="3"/>
      <c r="T963" s="3"/>
      <c r="U963" s="3"/>
    </row>
    <row r="964">
      <c r="A964" s="3"/>
      <c r="B964" s="3"/>
      <c r="C964" s="3"/>
      <c r="D964" s="3"/>
      <c r="E964" s="4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4"/>
      <c r="R964" s="3"/>
      <c r="S964" s="3"/>
      <c r="T964" s="3"/>
      <c r="U964" s="3"/>
    </row>
    <row r="965">
      <c r="A965" s="3"/>
      <c r="B965" s="3"/>
      <c r="C965" s="3"/>
      <c r="D965" s="3"/>
      <c r="E965" s="4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4"/>
      <c r="R965" s="3"/>
      <c r="S965" s="3"/>
      <c r="T965" s="3"/>
      <c r="U965" s="3"/>
    </row>
    <row r="966">
      <c r="A966" s="3"/>
      <c r="B966" s="3"/>
      <c r="C966" s="3"/>
      <c r="D966" s="3"/>
      <c r="E966" s="4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4"/>
      <c r="R966" s="3"/>
      <c r="S966" s="3"/>
      <c r="T966" s="3"/>
      <c r="U966" s="3"/>
    </row>
    <row r="967">
      <c r="A967" s="3"/>
      <c r="B967" s="3"/>
      <c r="C967" s="3"/>
      <c r="D967" s="3"/>
      <c r="E967" s="4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4"/>
      <c r="R967" s="3"/>
      <c r="S967" s="3"/>
      <c r="T967" s="3"/>
      <c r="U967" s="3"/>
    </row>
    <row r="968">
      <c r="A968" s="3"/>
      <c r="B968" s="3"/>
      <c r="C968" s="3"/>
      <c r="D968" s="3"/>
      <c r="E968" s="4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4"/>
      <c r="R968" s="3"/>
      <c r="S968" s="3"/>
      <c r="T968" s="3"/>
      <c r="U968" s="3"/>
    </row>
    <row r="969">
      <c r="A969" s="3"/>
      <c r="B969" s="3"/>
      <c r="C969" s="3"/>
      <c r="D969" s="3"/>
      <c r="E969" s="4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4"/>
      <c r="R969" s="3"/>
      <c r="S969" s="3"/>
      <c r="T969" s="3"/>
      <c r="U969" s="3"/>
    </row>
    <row r="970">
      <c r="A970" s="3"/>
      <c r="B970" s="3"/>
      <c r="C970" s="3"/>
      <c r="D970" s="3"/>
      <c r="E970" s="4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4"/>
      <c r="R970" s="3"/>
      <c r="S970" s="3"/>
      <c r="T970" s="3"/>
      <c r="U970" s="3"/>
    </row>
    <row r="971">
      <c r="A971" s="3"/>
      <c r="B971" s="3"/>
      <c r="C971" s="3"/>
      <c r="D971" s="3"/>
      <c r="E971" s="4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4"/>
      <c r="R971" s="3"/>
      <c r="S971" s="3"/>
      <c r="T971" s="3"/>
      <c r="U971" s="3"/>
    </row>
    <row r="972">
      <c r="A972" s="3"/>
      <c r="B972" s="3"/>
      <c r="C972" s="3"/>
      <c r="D972" s="3"/>
      <c r="E972" s="4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4"/>
      <c r="R972" s="3"/>
      <c r="S972" s="3"/>
      <c r="T972" s="3"/>
      <c r="U972" s="3"/>
    </row>
    <row r="973">
      <c r="A973" s="3"/>
      <c r="B973" s="3"/>
      <c r="C973" s="3"/>
      <c r="D973" s="3"/>
      <c r="E973" s="4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4"/>
      <c r="R973" s="3"/>
      <c r="S973" s="3"/>
      <c r="T973" s="3"/>
      <c r="U973" s="3"/>
    </row>
    <row r="974">
      <c r="A974" s="3"/>
      <c r="B974" s="3"/>
      <c r="C974" s="3"/>
      <c r="D974" s="3"/>
      <c r="E974" s="4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4"/>
      <c r="R974" s="3"/>
      <c r="S974" s="3"/>
      <c r="T974" s="3"/>
      <c r="U974" s="3"/>
    </row>
    <row r="975">
      <c r="A975" s="3"/>
      <c r="B975" s="3"/>
      <c r="C975" s="3"/>
      <c r="D975" s="3"/>
      <c r="E975" s="4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4"/>
      <c r="R975" s="3"/>
      <c r="S975" s="3"/>
      <c r="T975" s="3"/>
      <c r="U975" s="3"/>
    </row>
    <row r="976">
      <c r="A976" s="3"/>
      <c r="B976" s="3"/>
      <c r="C976" s="3"/>
      <c r="D976" s="3"/>
      <c r="E976" s="4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4"/>
      <c r="R976" s="3"/>
      <c r="S976" s="3"/>
      <c r="T976" s="3"/>
      <c r="U976" s="3"/>
    </row>
    <row r="977">
      <c r="A977" s="3"/>
      <c r="B977" s="3"/>
      <c r="C977" s="3"/>
      <c r="D977" s="3"/>
      <c r="E977" s="4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4"/>
      <c r="R977" s="3"/>
      <c r="S977" s="3"/>
      <c r="T977" s="3"/>
      <c r="U977" s="3"/>
    </row>
    <row r="978">
      <c r="A978" s="3"/>
      <c r="B978" s="3"/>
      <c r="C978" s="3"/>
      <c r="D978" s="3"/>
      <c r="E978" s="4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4"/>
      <c r="R978" s="3"/>
      <c r="S978" s="3"/>
      <c r="T978" s="3"/>
      <c r="U978" s="3"/>
    </row>
    <row r="979">
      <c r="A979" s="3"/>
      <c r="B979" s="3"/>
      <c r="C979" s="3"/>
      <c r="D979" s="3"/>
      <c r="E979" s="4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4"/>
      <c r="R979" s="3"/>
      <c r="S979" s="3"/>
      <c r="T979" s="3"/>
      <c r="U979" s="3"/>
    </row>
    <row r="980">
      <c r="A980" s="3"/>
      <c r="B980" s="3"/>
      <c r="C980" s="3"/>
      <c r="D980" s="3"/>
      <c r="E980" s="4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4"/>
      <c r="R980" s="3"/>
      <c r="S980" s="3"/>
      <c r="T980" s="3"/>
      <c r="U980" s="3"/>
    </row>
    <row r="981">
      <c r="A981" s="3"/>
      <c r="B981" s="3"/>
      <c r="C981" s="3"/>
      <c r="D981" s="3"/>
      <c r="E981" s="4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4"/>
      <c r="R981" s="3"/>
      <c r="S981" s="3"/>
      <c r="T981" s="3"/>
      <c r="U981" s="3"/>
    </row>
    <row r="982">
      <c r="A982" s="3"/>
      <c r="B982" s="3"/>
      <c r="C982" s="3"/>
      <c r="D982" s="3"/>
      <c r="E982" s="4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4"/>
      <c r="R982" s="3"/>
      <c r="S982" s="3"/>
      <c r="T982" s="3"/>
      <c r="U982" s="3"/>
    </row>
    <row r="983">
      <c r="A983" s="3"/>
      <c r="B983" s="3"/>
      <c r="C983" s="3"/>
      <c r="D983" s="3"/>
      <c r="E983" s="4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4"/>
      <c r="R983" s="3"/>
      <c r="S983" s="3"/>
      <c r="T983" s="3"/>
      <c r="U983" s="3"/>
    </row>
    <row r="984">
      <c r="A984" s="3"/>
      <c r="B984" s="3"/>
      <c r="C984" s="3"/>
      <c r="D984" s="3"/>
      <c r="E984" s="4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4"/>
      <c r="R984" s="3"/>
      <c r="S984" s="3"/>
      <c r="T984" s="3"/>
      <c r="U984" s="3"/>
    </row>
    <row r="985">
      <c r="A985" s="3"/>
      <c r="B985" s="3"/>
      <c r="C985" s="3"/>
      <c r="D985" s="3"/>
      <c r="E985" s="4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4"/>
      <c r="R985" s="3"/>
      <c r="S985" s="3"/>
      <c r="T985" s="3"/>
      <c r="U985" s="3"/>
    </row>
    <row r="986">
      <c r="A986" s="3"/>
      <c r="B986" s="3"/>
      <c r="C986" s="3"/>
      <c r="D986" s="3"/>
      <c r="E986" s="4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4"/>
      <c r="R986" s="3"/>
      <c r="S986" s="3"/>
      <c r="T986" s="3"/>
      <c r="U986" s="3"/>
    </row>
    <row r="987">
      <c r="A987" s="3"/>
      <c r="B987" s="3"/>
      <c r="C987" s="3"/>
      <c r="D987" s="3"/>
      <c r="E987" s="4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4"/>
      <c r="R987" s="3"/>
      <c r="S987" s="3"/>
      <c r="T987" s="3"/>
      <c r="U987" s="3"/>
    </row>
    <row r="988">
      <c r="A988" s="3"/>
      <c r="B988" s="3"/>
      <c r="C988" s="3"/>
      <c r="D988" s="3"/>
      <c r="E988" s="4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4"/>
      <c r="R988" s="3"/>
      <c r="S988" s="3"/>
      <c r="T988" s="3"/>
      <c r="U988" s="3"/>
    </row>
    <row r="989">
      <c r="A989" s="3"/>
      <c r="B989" s="3"/>
      <c r="C989" s="3"/>
      <c r="D989" s="3"/>
      <c r="E989" s="4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4"/>
      <c r="R989" s="3"/>
      <c r="S989" s="3"/>
      <c r="T989" s="3"/>
      <c r="U989" s="3"/>
    </row>
    <row r="990">
      <c r="A990" s="3"/>
      <c r="B990" s="3"/>
      <c r="C990" s="3"/>
      <c r="D990" s="3"/>
      <c r="E990" s="4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4"/>
      <c r="R990" s="3"/>
      <c r="S990" s="3"/>
      <c r="T990" s="3"/>
      <c r="U990" s="3"/>
    </row>
    <row r="991">
      <c r="A991" s="3"/>
      <c r="B991" s="3"/>
      <c r="C991" s="3"/>
      <c r="D991" s="3"/>
      <c r="E991" s="4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4"/>
      <c r="R991" s="3"/>
      <c r="S991" s="3"/>
      <c r="T991" s="3"/>
      <c r="U991" s="3"/>
    </row>
    <row r="992">
      <c r="A992" s="3"/>
      <c r="B992" s="3"/>
      <c r="C992" s="3"/>
      <c r="D992" s="3"/>
      <c r="E992" s="4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4"/>
      <c r="R992" s="3"/>
      <c r="S992" s="3"/>
      <c r="T992" s="3"/>
      <c r="U992" s="3"/>
    </row>
    <row r="993">
      <c r="A993" s="3"/>
      <c r="B993" s="3"/>
      <c r="C993" s="3"/>
      <c r="D993" s="3"/>
      <c r="E993" s="4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4"/>
      <c r="R993" s="3"/>
      <c r="S993" s="3"/>
      <c r="T993" s="3"/>
      <c r="U993" s="3"/>
    </row>
    <row r="994">
      <c r="A994" s="3"/>
      <c r="B994" s="3"/>
      <c r="C994" s="3"/>
      <c r="D994" s="3"/>
      <c r="E994" s="4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4"/>
      <c r="R994" s="3"/>
      <c r="S994" s="3"/>
      <c r="T994" s="3"/>
      <c r="U994" s="3"/>
    </row>
    <row r="995">
      <c r="A995" s="3"/>
      <c r="B995" s="3"/>
      <c r="C995" s="3"/>
      <c r="D995" s="3"/>
      <c r="E995" s="4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4"/>
      <c r="R995" s="3"/>
      <c r="S995" s="3"/>
      <c r="T995" s="3"/>
      <c r="U995" s="3"/>
    </row>
    <row r="996">
      <c r="A996" s="3"/>
      <c r="B996" s="3"/>
      <c r="C996" s="3"/>
      <c r="D996" s="3"/>
      <c r="E996" s="4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4"/>
      <c r="R996" s="3"/>
      <c r="S996" s="3"/>
      <c r="T996" s="3"/>
      <c r="U996" s="3"/>
    </row>
    <row r="997">
      <c r="A997" s="3"/>
      <c r="B997" s="3"/>
      <c r="C997" s="3"/>
      <c r="D997" s="3"/>
      <c r="E997" s="4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4"/>
      <c r="R997" s="3"/>
      <c r="S997" s="3"/>
      <c r="T997" s="3"/>
      <c r="U997" s="3"/>
    </row>
    <row r="998">
      <c r="A998" s="3"/>
      <c r="B998" s="3"/>
      <c r="C998" s="3"/>
      <c r="D998" s="3"/>
      <c r="E998" s="4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4"/>
      <c r="R998" s="3"/>
      <c r="S998" s="3"/>
      <c r="T998" s="3"/>
      <c r="U998" s="3"/>
    </row>
    <row r="999">
      <c r="A999" s="3"/>
      <c r="B999" s="3"/>
      <c r="C999" s="3"/>
      <c r="D999" s="3"/>
      <c r="E999" s="4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4"/>
      <c r="R999" s="3"/>
      <c r="S999" s="3"/>
      <c r="T999" s="3"/>
      <c r="U999" s="3"/>
    </row>
    <row r="1000">
      <c r="A1000" s="3"/>
      <c r="B1000" s="3"/>
      <c r="C1000" s="3"/>
      <c r="D1000" s="3"/>
      <c r="E1000" s="4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4"/>
      <c r="R1000" s="3"/>
      <c r="S1000" s="3"/>
      <c r="T1000" s="3"/>
      <c r="U1000" s="3"/>
    </row>
    <row r="1001">
      <c r="A1001" s="3"/>
      <c r="B1001" s="3"/>
      <c r="C1001" s="3"/>
      <c r="D1001" s="3"/>
      <c r="E1001" s="4"/>
      <c r="F1001" s="3"/>
      <c r="G1001" s="5"/>
      <c r="H1001" s="3"/>
      <c r="I1001" s="3"/>
      <c r="J1001" s="3"/>
      <c r="K1001" s="3"/>
      <c r="L1001" s="3"/>
      <c r="M1001" s="3"/>
      <c r="N1001" s="3"/>
      <c r="O1001" s="3"/>
      <c r="P1001" s="3"/>
      <c r="Q1001" s="4"/>
      <c r="R1001" s="3"/>
      <c r="S1001" s="3"/>
      <c r="T1001" s="3"/>
      <c r="U1001" s="3"/>
    </row>
    <row r="1002">
      <c r="A1002" s="3"/>
      <c r="B1002" s="3"/>
      <c r="C1002" s="3"/>
      <c r="D1002" s="3"/>
      <c r="E1002" s="4"/>
      <c r="F1002" s="3"/>
      <c r="G1002" s="5"/>
      <c r="H1002" s="3"/>
      <c r="I1002" s="3"/>
      <c r="J1002" s="3"/>
      <c r="K1002" s="3"/>
      <c r="L1002" s="3"/>
      <c r="M1002" s="3"/>
      <c r="N1002" s="3"/>
      <c r="O1002" s="3"/>
      <c r="P1002" s="3"/>
      <c r="Q1002" s="4"/>
      <c r="R1002" s="3"/>
      <c r="S1002" s="3"/>
      <c r="T1002" s="3"/>
      <c r="U1002" s="3"/>
    </row>
    <row r="1003">
      <c r="A1003" s="3"/>
      <c r="B1003" s="3"/>
      <c r="C1003" s="3"/>
      <c r="D1003" s="3"/>
      <c r="E1003" s="4"/>
      <c r="F1003" s="3"/>
      <c r="G1003" s="5"/>
      <c r="H1003" s="3"/>
      <c r="I1003" s="3"/>
      <c r="J1003" s="3"/>
      <c r="K1003" s="3"/>
      <c r="L1003" s="3"/>
      <c r="M1003" s="3"/>
      <c r="N1003" s="3"/>
      <c r="O1003" s="3"/>
      <c r="P1003" s="3"/>
      <c r="Q1003" s="4"/>
      <c r="R1003" s="3"/>
      <c r="S1003" s="3"/>
      <c r="T1003" s="3"/>
      <c r="U1003" s="3"/>
    </row>
    <row r="1004">
      <c r="A1004" s="3"/>
      <c r="B1004" s="3"/>
      <c r="C1004" s="3"/>
      <c r="D1004" s="3"/>
      <c r="E1004" s="4"/>
      <c r="F1004" s="3"/>
      <c r="G1004" s="5"/>
      <c r="H1004" s="3"/>
      <c r="I1004" s="3"/>
      <c r="J1004" s="3"/>
      <c r="K1004" s="3"/>
      <c r="L1004" s="3"/>
      <c r="M1004" s="3"/>
      <c r="N1004" s="3"/>
      <c r="O1004" s="3"/>
      <c r="P1004" s="3"/>
      <c r="Q1004" s="4"/>
      <c r="R1004" s="3"/>
      <c r="S1004" s="3"/>
      <c r="T1004" s="3"/>
      <c r="U1004" s="3"/>
    </row>
    <row r="1005">
      <c r="A1005" s="3"/>
      <c r="B1005" s="3"/>
      <c r="C1005" s="3"/>
      <c r="D1005" s="3"/>
      <c r="E1005" s="4"/>
      <c r="F1005" s="3"/>
      <c r="G1005" s="5"/>
      <c r="H1005" s="3"/>
      <c r="I1005" s="3"/>
      <c r="J1005" s="3"/>
      <c r="K1005" s="3"/>
      <c r="L1005" s="3"/>
      <c r="M1005" s="3"/>
      <c r="N1005" s="3"/>
      <c r="O1005" s="3"/>
      <c r="P1005" s="3"/>
      <c r="Q1005" s="4"/>
      <c r="R1005" s="3"/>
      <c r="S1005" s="3"/>
      <c r="T1005" s="3"/>
      <c r="U1005" s="3"/>
    </row>
    <row r="1006">
      <c r="A1006" s="3"/>
      <c r="B1006" s="3"/>
      <c r="C1006" s="3"/>
      <c r="D1006" s="3"/>
      <c r="E1006" s="4"/>
      <c r="F1006" s="3"/>
      <c r="G1006" s="5"/>
      <c r="H1006" s="3"/>
      <c r="I1006" s="3"/>
      <c r="J1006" s="3"/>
      <c r="K1006" s="3"/>
      <c r="L1006" s="3"/>
      <c r="M1006" s="3"/>
      <c r="N1006" s="3"/>
      <c r="O1006" s="3"/>
      <c r="P1006" s="3"/>
      <c r="Q1006" s="4"/>
      <c r="R1006" s="3"/>
      <c r="S1006" s="3"/>
      <c r="T1006" s="3"/>
      <c r="U1006" s="3"/>
    </row>
    <row r="1007">
      <c r="A1007" s="3"/>
      <c r="B1007" s="3"/>
      <c r="C1007" s="3"/>
      <c r="D1007" s="3"/>
      <c r="E1007" s="4"/>
      <c r="F1007" s="3"/>
      <c r="G1007" s="5"/>
      <c r="H1007" s="3"/>
      <c r="I1007" s="3"/>
      <c r="J1007" s="3"/>
      <c r="K1007" s="3"/>
      <c r="L1007" s="3"/>
      <c r="M1007" s="3"/>
      <c r="N1007" s="3"/>
      <c r="O1007" s="3"/>
      <c r="P1007" s="3"/>
      <c r="Q1007" s="4"/>
      <c r="R1007" s="3"/>
      <c r="S1007" s="3"/>
      <c r="T1007" s="3"/>
      <c r="U1007" s="3"/>
    </row>
    <row r="1008">
      <c r="A1008" s="3"/>
      <c r="B1008" s="3"/>
      <c r="C1008" s="3"/>
      <c r="D1008" s="3"/>
      <c r="E1008" s="4"/>
      <c r="F1008" s="3"/>
      <c r="G1008" s="5"/>
      <c r="H1008" s="3"/>
      <c r="I1008" s="3"/>
      <c r="J1008" s="3"/>
      <c r="K1008" s="3"/>
      <c r="L1008" s="3"/>
      <c r="M1008" s="3"/>
      <c r="N1008" s="3"/>
      <c r="O1008" s="3"/>
      <c r="P1008" s="3"/>
      <c r="Q1008" s="4"/>
      <c r="R1008" s="3"/>
      <c r="S1008" s="3"/>
      <c r="T1008" s="3"/>
      <c r="U1008" s="3"/>
    </row>
    <row r="1009">
      <c r="A1009" s="3"/>
      <c r="B1009" s="3"/>
      <c r="C1009" s="3"/>
      <c r="D1009" s="3"/>
      <c r="E1009" s="4"/>
      <c r="F1009" s="3"/>
      <c r="G1009" s="5"/>
      <c r="H1009" s="3"/>
      <c r="I1009" s="3"/>
      <c r="J1009" s="3"/>
      <c r="K1009" s="3"/>
      <c r="L1009" s="3"/>
      <c r="M1009" s="3"/>
      <c r="N1009" s="3"/>
      <c r="O1009" s="3"/>
      <c r="P1009" s="3"/>
      <c r="Q1009" s="4"/>
      <c r="R1009" s="3"/>
      <c r="S1009" s="3"/>
      <c r="T1009" s="3"/>
      <c r="U1009" s="3"/>
    </row>
    <row r="1010">
      <c r="A1010" s="3"/>
      <c r="B1010" s="3"/>
      <c r="C1010" s="3"/>
      <c r="D1010" s="3"/>
      <c r="E1010" s="4"/>
      <c r="F1010" s="3"/>
      <c r="G1010" s="5"/>
      <c r="H1010" s="3"/>
      <c r="I1010" s="3"/>
      <c r="J1010" s="3"/>
      <c r="K1010" s="3"/>
      <c r="L1010" s="3"/>
      <c r="M1010" s="3"/>
      <c r="N1010" s="3"/>
      <c r="O1010" s="3"/>
      <c r="P1010" s="3"/>
      <c r="Q1010" s="4"/>
      <c r="R1010" s="3"/>
      <c r="S1010" s="3"/>
      <c r="T1010" s="3"/>
      <c r="U1010" s="3"/>
    </row>
    <row r="1011">
      <c r="A1011" s="3"/>
      <c r="B1011" s="3"/>
      <c r="C1011" s="3"/>
      <c r="D1011" s="3"/>
      <c r="E1011" s="4"/>
      <c r="F1011" s="3"/>
      <c r="G1011" s="5"/>
      <c r="H1011" s="3"/>
      <c r="I1011" s="3"/>
      <c r="J1011" s="3"/>
      <c r="K1011" s="3"/>
      <c r="L1011" s="3"/>
      <c r="M1011" s="3"/>
      <c r="N1011" s="3"/>
      <c r="O1011" s="3"/>
      <c r="P1011" s="3"/>
      <c r="Q1011" s="4"/>
      <c r="R1011" s="3"/>
      <c r="S1011" s="3"/>
      <c r="T1011" s="3"/>
      <c r="U1011" s="3"/>
    </row>
    <row r="1012">
      <c r="A1012" s="3"/>
      <c r="B1012" s="3"/>
      <c r="C1012" s="3"/>
      <c r="D1012" s="3"/>
      <c r="E1012" s="4"/>
      <c r="F1012" s="3"/>
      <c r="G1012" s="5"/>
      <c r="H1012" s="3"/>
      <c r="I1012" s="3"/>
      <c r="J1012" s="3"/>
      <c r="K1012" s="3"/>
      <c r="L1012" s="3"/>
      <c r="M1012" s="3"/>
      <c r="N1012" s="3"/>
      <c r="O1012" s="3"/>
      <c r="P1012" s="3"/>
      <c r="Q1012" s="4"/>
      <c r="R1012" s="3"/>
      <c r="S1012" s="3"/>
      <c r="T1012" s="3"/>
      <c r="U1012" s="3"/>
    </row>
    <row r="1013">
      <c r="A1013" s="3"/>
      <c r="B1013" s="3"/>
      <c r="C1013" s="3"/>
      <c r="D1013" s="3"/>
      <c r="E1013" s="4"/>
      <c r="F1013" s="3"/>
      <c r="G1013" s="5"/>
      <c r="H1013" s="3"/>
      <c r="I1013" s="3"/>
      <c r="J1013" s="3"/>
      <c r="K1013" s="3"/>
      <c r="L1013" s="3"/>
      <c r="M1013" s="3"/>
      <c r="N1013" s="3"/>
      <c r="O1013" s="3"/>
      <c r="P1013" s="3"/>
      <c r="Q1013" s="4"/>
      <c r="R1013" s="3"/>
      <c r="S1013" s="3"/>
      <c r="T1013" s="3"/>
      <c r="U1013" s="3"/>
    </row>
    <row r="1014">
      <c r="A1014" s="3"/>
      <c r="B1014" s="3"/>
      <c r="C1014" s="3"/>
      <c r="D1014" s="3"/>
      <c r="E1014" s="4"/>
      <c r="F1014" s="3"/>
      <c r="G1014" s="5"/>
      <c r="H1014" s="3"/>
      <c r="I1014" s="3"/>
      <c r="J1014" s="3"/>
      <c r="K1014" s="3"/>
      <c r="L1014" s="3"/>
      <c r="M1014" s="3"/>
      <c r="N1014" s="3"/>
      <c r="O1014" s="3"/>
      <c r="P1014" s="3"/>
      <c r="Q1014" s="4"/>
      <c r="R1014" s="3"/>
      <c r="S1014" s="3"/>
      <c r="T1014" s="3"/>
      <c r="U1014" s="3"/>
    </row>
    <row r="1015">
      <c r="A1015" s="3"/>
      <c r="B1015" s="3"/>
      <c r="C1015" s="3"/>
      <c r="D1015" s="3"/>
      <c r="E1015" s="4"/>
      <c r="F1015" s="3"/>
      <c r="G1015" s="5"/>
      <c r="H1015" s="3"/>
      <c r="I1015" s="3"/>
      <c r="J1015" s="3"/>
      <c r="K1015" s="3"/>
      <c r="L1015" s="3"/>
      <c r="M1015" s="3"/>
      <c r="N1015" s="3"/>
      <c r="O1015" s="3"/>
      <c r="P1015" s="3"/>
      <c r="Q1015" s="4"/>
      <c r="R1015" s="3"/>
      <c r="S1015" s="3"/>
      <c r="T1015" s="3"/>
      <c r="U1015" s="3"/>
    </row>
    <row r="1016">
      <c r="A1016" s="3"/>
      <c r="B1016" s="3"/>
      <c r="C1016" s="3"/>
      <c r="D1016" s="3"/>
      <c r="E1016" s="4"/>
      <c r="F1016" s="3"/>
      <c r="G1016" s="5"/>
      <c r="H1016" s="3"/>
      <c r="I1016" s="3"/>
      <c r="J1016" s="3"/>
      <c r="K1016" s="3"/>
      <c r="L1016" s="3"/>
      <c r="M1016" s="3"/>
      <c r="N1016" s="3"/>
      <c r="O1016" s="3"/>
      <c r="P1016" s="3"/>
      <c r="Q1016" s="4"/>
      <c r="R1016" s="3"/>
      <c r="S1016" s="3"/>
      <c r="T1016" s="3"/>
      <c r="U1016" s="3"/>
    </row>
    <row r="1017">
      <c r="A1017" s="3"/>
      <c r="B1017" s="3"/>
      <c r="C1017" s="3"/>
      <c r="D1017" s="3"/>
      <c r="E1017" s="4"/>
      <c r="F1017" s="3"/>
      <c r="G1017" s="5"/>
      <c r="H1017" s="3"/>
      <c r="I1017" s="3"/>
      <c r="J1017" s="3"/>
      <c r="K1017" s="3"/>
      <c r="L1017" s="3"/>
      <c r="M1017" s="3"/>
      <c r="N1017" s="3"/>
      <c r="O1017" s="3"/>
      <c r="P1017" s="3"/>
      <c r="Q1017" s="4"/>
      <c r="R1017" s="3"/>
      <c r="S1017" s="3"/>
      <c r="T1017" s="3"/>
      <c r="U1017" s="3"/>
    </row>
    <row r="1018">
      <c r="A1018" s="3"/>
      <c r="B1018" s="3"/>
      <c r="C1018" s="3"/>
      <c r="D1018" s="3"/>
      <c r="E1018" s="4"/>
      <c r="F1018" s="3"/>
      <c r="G1018" s="5"/>
      <c r="H1018" s="3"/>
      <c r="I1018" s="3"/>
      <c r="J1018" s="3"/>
      <c r="K1018" s="3"/>
      <c r="L1018" s="3"/>
      <c r="M1018" s="3"/>
      <c r="N1018" s="3"/>
      <c r="O1018" s="3"/>
      <c r="P1018" s="3"/>
      <c r="Q1018" s="4"/>
      <c r="R1018" s="3"/>
      <c r="S1018" s="3"/>
      <c r="T1018" s="3"/>
      <c r="U1018" s="3"/>
    </row>
    <row r="1019">
      <c r="A1019" s="3"/>
      <c r="B1019" s="3"/>
      <c r="C1019" s="3"/>
      <c r="D1019" s="3"/>
      <c r="E1019" s="4"/>
      <c r="F1019" s="3"/>
      <c r="G1019" s="5"/>
      <c r="H1019" s="3"/>
      <c r="I1019" s="3"/>
      <c r="J1019" s="3"/>
      <c r="K1019" s="3"/>
      <c r="L1019" s="3"/>
      <c r="M1019" s="3"/>
      <c r="N1019" s="3"/>
      <c r="O1019" s="3"/>
      <c r="P1019" s="3"/>
      <c r="Q1019" s="4"/>
      <c r="R1019" s="3"/>
      <c r="S1019" s="3"/>
      <c r="T1019" s="3"/>
      <c r="U1019" s="3"/>
    </row>
    <row r="1020">
      <c r="A1020" s="3"/>
      <c r="B1020" s="3"/>
      <c r="C1020" s="3"/>
      <c r="D1020" s="3"/>
      <c r="E1020" s="4"/>
      <c r="F1020" s="3"/>
      <c r="G1020" s="5"/>
      <c r="H1020" s="3"/>
      <c r="I1020" s="3"/>
      <c r="J1020" s="3"/>
      <c r="K1020" s="3"/>
      <c r="L1020" s="3"/>
      <c r="M1020" s="3"/>
      <c r="N1020" s="3"/>
      <c r="O1020" s="3"/>
      <c r="P1020" s="3"/>
      <c r="Q1020" s="4"/>
      <c r="R1020" s="3"/>
      <c r="S1020" s="3"/>
      <c r="T1020" s="3"/>
      <c r="U1020" s="3"/>
    </row>
    <row r="1021">
      <c r="A1021" s="3"/>
      <c r="B1021" s="3"/>
      <c r="C1021" s="3"/>
      <c r="D1021" s="3"/>
      <c r="E1021" s="4"/>
      <c r="F1021" s="3"/>
      <c r="G1021" s="5"/>
      <c r="H1021" s="3"/>
      <c r="I1021" s="3"/>
      <c r="J1021" s="3"/>
      <c r="K1021" s="3"/>
      <c r="L1021" s="3"/>
      <c r="M1021" s="3"/>
      <c r="N1021" s="3"/>
      <c r="O1021" s="3"/>
      <c r="P1021" s="3"/>
      <c r="Q1021" s="4"/>
      <c r="R1021" s="3"/>
      <c r="S1021" s="3"/>
      <c r="T1021" s="3"/>
      <c r="U1021" s="3"/>
    </row>
    <row r="1022">
      <c r="A1022" s="3"/>
      <c r="B1022" s="3"/>
      <c r="C1022" s="3"/>
      <c r="D1022" s="3"/>
      <c r="E1022" s="4"/>
      <c r="F1022" s="3"/>
      <c r="G1022" s="5"/>
      <c r="H1022" s="3"/>
      <c r="I1022" s="3"/>
      <c r="J1022" s="3"/>
      <c r="K1022" s="3"/>
      <c r="L1022" s="3"/>
      <c r="M1022" s="3"/>
      <c r="N1022" s="3"/>
      <c r="O1022" s="3"/>
      <c r="P1022" s="3"/>
      <c r="Q1022" s="4"/>
      <c r="R1022" s="3"/>
      <c r="S1022" s="3"/>
      <c r="T1022" s="3"/>
      <c r="U1022" s="3"/>
    </row>
    <row r="1023">
      <c r="A1023" s="3"/>
      <c r="B1023" s="3"/>
      <c r="C1023" s="3"/>
      <c r="D1023" s="3"/>
      <c r="E1023" s="4"/>
      <c r="F1023" s="3"/>
      <c r="G1023" s="5"/>
      <c r="H1023" s="3"/>
      <c r="I1023" s="3"/>
      <c r="J1023" s="3"/>
      <c r="K1023" s="3"/>
      <c r="L1023" s="3"/>
      <c r="M1023" s="3"/>
      <c r="N1023" s="3"/>
      <c r="O1023" s="3"/>
      <c r="P1023" s="3"/>
      <c r="Q1023" s="4"/>
      <c r="R1023" s="3"/>
      <c r="S1023" s="3"/>
      <c r="T1023" s="3"/>
      <c r="U1023" s="3"/>
    </row>
    <row r="1024">
      <c r="A1024" s="3"/>
      <c r="B1024" s="3"/>
      <c r="C1024" s="3"/>
      <c r="D1024" s="3"/>
      <c r="E1024" s="4"/>
      <c r="F1024" s="3"/>
      <c r="G1024" s="5"/>
      <c r="H1024" s="3"/>
      <c r="I1024" s="3"/>
      <c r="J1024" s="3"/>
      <c r="K1024" s="3"/>
      <c r="L1024" s="3"/>
      <c r="M1024" s="3"/>
      <c r="N1024" s="3"/>
      <c r="O1024" s="3"/>
      <c r="P1024" s="3"/>
      <c r="Q1024" s="4"/>
      <c r="R1024" s="3"/>
      <c r="S1024" s="3"/>
      <c r="T1024" s="3"/>
      <c r="U1024" s="3"/>
    </row>
    <row r="1025">
      <c r="A1025" s="3"/>
      <c r="B1025" s="3"/>
      <c r="C1025" s="3"/>
      <c r="D1025" s="3"/>
      <c r="E1025" s="4"/>
      <c r="F1025" s="3"/>
      <c r="G1025" s="5"/>
      <c r="H1025" s="3"/>
      <c r="I1025" s="3"/>
      <c r="J1025" s="3"/>
      <c r="K1025" s="3"/>
      <c r="L1025" s="3"/>
      <c r="M1025" s="3"/>
      <c r="N1025" s="3"/>
      <c r="O1025" s="3"/>
      <c r="P1025" s="3"/>
      <c r="Q1025" s="4"/>
      <c r="R1025" s="3"/>
      <c r="S1025" s="3"/>
      <c r="T1025" s="3"/>
      <c r="U1025" s="3"/>
    </row>
    <row r="1026">
      <c r="A1026" s="3"/>
      <c r="B1026" s="3"/>
      <c r="C1026" s="3"/>
      <c r="D1026" s="3"/>
      <c r="E1026" s="4"/>
      <c r="F1026" s="3"/>
      <c r="G1026" s="5"/>
      <c r="H1026" s="3"/>
      <c r="I1026" s="3"/>
      <c r="J1026" s="3"/>
      <c r="K1026" s="3"/>
      <c r="L1026" s="3"/>
      <c r="M1026" s="3"/>
      <c r="N1026" s="3"/>
      <c r="O1026" s="3"/>
      <c r="P1026" s="3"/>
      <c r="Q1026" s="4"/>
      <c r="R1026" s="3"/>
      <c r="S1026" s="3"/>
      <c r="T1026" s="3"/>
      <c r="U1026" s="3"/>
    </row>
    <row r="1027">
      <c r="A1027" s="3"/>
      <c r="B1027" s="3"/>
      <c r="C1027" s="3"/>
      <c r="D1027" s="3"/>
      <c r="E1027" s="4"/>
      <c r="F1027" s="3"/>
      <c r="G1027" s="5"/>
      <c r="H1027" s="3"/>
      <c r="I1027" s="3"/>
      <c r="J1027" s="3"/>
      <c r="K1027" s="3"/>
      <c r="L1027" s="3"/>
      <c r="M1027" s="3"/>
      <c r="N1027" s="3"/>
      <c r="O1027" s="3"/>
      <c r="P1027" s="3"/>
      <c r="Q1027" s="4"/>
      <c r="R1027" s="3"/>
      <c r="S1027" s="3"/>
      <c r="T1027" s="3"/>
      <c r="U1027" s="3"/>
    </row>
    <row r="1028">
      <c r="A1028" s="3"/>
      <c r="B1028" s="3"/>
      <c r="C1028" s="3"/>
      <c r="D1028" s="3"/>
      <c r="E1028" s="4"/>
      <c r="F1028" s="3"/>
      <c r="G1028" s="5"/>
      <c r="H1028" s="3"/>
      <c r="I1028" s="3"/>
      <c r="J1028" s="3"/>
      <c r="K1028" s="3"/>
      <c r="L1028" s="3"/>
      <c r="M1028" s="3"/>
      <c r="N1028" s="3"/>
      <c r="O1028" s="3"/>
      <c r="P1028" s="3"/>
      <c r="Q1028" s="4"/>
      <c r="R1028" s="3"/>
      <c r="S1028" s="3"/>
      <c r="T1028" s="3"/>
      <c r="U1028" s="3"/>
    </row>
    <row r="1029">
      <c r="A1029" s="3"/>
      <c r="B1029" s="3"/>
      <c r="C1029" s="3"/>
      <c r="D1029" s="3"/>
      <c r="E1029" s="4"/>
      <c r="F1029" s="3"/>
      <c r="G1029" s="5"/>
      <c r="H1029" s="3"/>
      <c r="I1029" s="3"/>
      <c r="J1029" s="3"/>
      <c r="K1029" s="3"/>
      <c r="L1029" s="3"/>
      <c r="M1029" s="3"/>
      <c r="N1029" s="3"/>
      <c r="O1029" s="3"/>
      <c r="P1029" s="3"/>
      <c r="Q1029" s="4"/>
      <c r="R1029" s="3"/>
      <c r="S1029" s="3"/>
      <c r="T1029" s="3"/>
      <c r="U1029" s="3"/>
    </row>
    <row r="1030">
      <c r="A1030" s="3"/>
      <c r="B1030" s="3"/>
      <c r="C1030" s="3"/>
      <c r="D1030" s="3"/>
      <c r="E1030" s="4"/>
      <c r="F1030" s="3"/>
      <c r="G1030" s="5"/>
      <c r="H1030" s="3"/>
      <c r="I1030" s="3"/>
      <c r="J1030" s="3"/>
      <c r="K1030" s="3"/>
      <c r="L1030" s="3"/>
      <c r="M1030" s="3"/>
      <c r="N1030" s="3"/>
      <c r="O1030" s="3"/>
      <c r="P1030" s="3"/>
      <c r="Q1030" s="4"/>
      <c r="R1030" s="3"/>
      <c r="S1030" s="3"/>
      <c r="T1030" s="3"/>
      <c r="U1030" s="3"/>
    </row>
    <row r="1031">
      <c r="A1031" s="3"/>
      <c r="B1031" s="3"/>
      <c r="C1031" s="3"/>
      <c r="D1031" s="3"/>
      <c r="E1031" s="4"/>
      <c r="F1031" s="3"/>
      <c r="G1031" s="5"/>
      <c r="H1031" s="3"/>
      <c r="I1031" s="3"/>
      <c r="J1031" s="3"/>
      <c r="K1031" s="3"/>
      <c r="L1031" s="3"/>
      <c r="M1031" s="3"/>
      <c r="N1031" s="3"/>
      <c r="O1031" s="3"/>
      <c r="P1031" s="3"/>
      <c r="Q1031" s="4"/>
      <c r="R1031" s="3"/>
      <c r="S1031" s="3"/>
      <c r="T1031" s="3"/>
      <c r="U1031" s="3"/>
    </row>
    <row r="1032">
      <c r="A1032" s="3"/>
      <c r="B1032" s="3"/>
      <c r="C1032" s="3"/>
      <c r="D1032" s="3"/>
      <c r="E1032" s="4"/>
      <c r="F1032" s="3"/>
      <c r="G1032" s="5"/>
      <c r="H1032" s="3"/>
      <c r="I1032" s="3"/>
      <c r="J1032" s="3"/>
      <c r="K1032" s="3"/>
      <c r="L1032" s="3"/>
      <c r="M1032" s="3"/>
      <c r="N1032" s="3"/>
      <c r="O1032" s="3"/>
      <c r="P1032" s="3"/>
      <c r="Q1032" s="4"/>
      <c r="R1032" s="3"/>
      <c r="S1032" s="3"/>
      <c r="T1032" s="3"/>
      <c r="U1032" s="3"/>
    </row>
    <row r="1033">
      <c r="A1033" s="3"/>
      <c r="B1033" s="3"/>
      <c r="C1033" s="3"/>
      <c r="D1033" s="3"/>
      <c r="E1033" s="4"/>
      <c r="F1033" s="3"/>
      <c r="G1033" s="5"/>
      <c r="H1033" s="3"/>
      <c r="I1033" s="3"/>
      <c r="J1033" s="3"/>
      <c r="K1033" s="3"/>
      <c r="L1033" s="3"/>
      <c r="M1033" s="3"/>
      <c r="N1033" s="3"/>
      <c r="O1033" s="3"/>
      <c r="P1033" s="3"/>
      <c r="Q1033" s="4"/>
      <c r="R1033" s="3"/>
      <c r="S1033" s="3"/>
      <c r="T1033" s="3"/>
      <c r="U1033" s="3"/>
    </row>
    <row r="1034">
      <c r="A1034" s="3"/>
      <c r="B1034" s="3"/>
      <c r="C1034" s="3"/>
      <c r="D1034" s="3"/>
      <c r="E1034" s="4"/>
      <c r="F1034" s="3"/>
      <c r="G1034" s="5"/>
      <c r="H1034" s="3"/>
      <c r="I1034" s="3"/>
      <c r="J1034" s="3"/>
      <c r="K1034" s="3"/>
      <c r="L1034" s="3"/>
      <c r="M1034" s="3"/>
      <c r="N1034" s="3"/>
      <c r="O1034" s="3"/>
      <c r="P1034" s="3"/>
      <c r="Q1034" s="4"/>
      <c r="R1034" s="3"/>
      <c r="S1034" s="3"/>
      <c r="T1034" s="3"/>
      <c r="U1034" s="3"/>
    </row>
    <row r="1035">
      <c r="A1035" s="3"/>
      <c r="B1035" s="3"/>
      <c r="C1035" s="3"/>
      <c r="D1035" s="3"/>
      <c r="E1035" s="4"/>
      <c r="F1035" s="3"/>
      <c r="G1035" s="5"/>
      <c r="H1035" s="3"/>
      <c r="I1035" s="3"/>
      <c r="J1035" s="3"/>
      <c r="K1035" s="3"/>
      <c r="L1035" s="3"/>
      <c r="M1035" s="3"/>
      <c r="N1035" s="3"/>
      <c r="O1035" s="3"/>
      <c r="P1035" s="3"/>
      <c r="Q1035" s="4"/>
      <c r="R1035" s="3"/>
      <c r="S1035" s="3"/>
      <c r="T1035" s="3"/>
      <c r="U1035" s="3"/>
    </row>
    <row r="1036">
      <c r="A1036" s="3"/>
      <c r="B1036" s="3"/>
      <c r="C1036" s="3"/>
      <c r="D1036" s="3"/>
      <c r="E1036" s="4"/>
      <c r="F1036" s="3"/>
      <c r="G1036" s="5"/>
      <c r="H1036" s="3"/>
      <c r="I1036" s="3"/>
      <c r="J1036" s="3"/>
      <c r="K1036" s="3"/>
      <c r="L1036" s="3"/>
      <c r="M1036" s="3"/>
      <c r="N1036" s="3"/>
      <c r="O1036" s="3"/>
      <c r="P1036" s="3"/>
      <c r="Q1036" s="4"/>
      <c r="R1036" s="3"/>
      <c r="S1036" s="3"/>
      <c r="T1036" s="3"/>
      <c r="U1036" s="3"/>
    </row>
    <row r="1037">
      <c r="A1037" s="3"/>
      <c r="B1037" s="3"/>
      <c r="C1037" s="3"/>
      <c r="D1037" s="3"/>
      <c r="E1037" s="4"/>
      <c r="F1037" s="3"/>
      <c r="G1037" s="5"/>
      <c r="H1037" s="3"/>
      <c r="I1037" s="3"/>
      <c r="J1037" s="3"/>
      <c r="K1037" s="3"/>
      <c r="L1037" s="3"/>
      <c r="M1037" s="3"/>
      <c r="N1037" s="3"/>
      <c r="O1037" s="3"/>
      <c r="P1037" s="3"/>
      <c r="Q1037" s="4"/>
      <c r="R1037" s="3"/>
      <c r="S1037" s="3"/>
      <c r="T1037" s="3"/>
      <c r="U1037" s="3"/>
    </row>
    <row r="1038">
      <c r="A1038" s="3"/>
      <c r="B1038" s="3"/>
      <c r="C1038" s="3"/>
      <c r="D1038" s="3"/>
      <c r="E1038" s="4"/>
      <c r="F1038" s="3"/>
      <c r="G1038" s="5"/>
      <c r="H1038" s="3"/>
      <c r="I1038" s="3"/>
      <c r="J1038" s="3"/>
      <c r="K1038" s="3"/>
      <c r="L1038" s="3"/>
      <c r="M1038" s="3"/>
      <c r="N1038" s="3"/>
      <c r="O1038" s="3"/>
      <c r="P1038" s="3"/>
      <c r="Q1038" s="4"/>
      <c r="R1038" s="3"/>
      <c r="S1038" s="3"/>
      <c r="T1038" s="3"/>
      <c r="U1038" s="3"/>
    </row>
    <row r="1039">
      <c r="A1039" s="3"/>
      <c r="B1039" s="3"/>
      <c r="C1039" s="3"/>
      <c r="D1039" s="3"/>
      <c r="E1039" s="4"/>
      <c r="F1039" s="3"/>
      <c r="G1039" s="5"/>
      <c r="H1039" s="3"/>
      <c r="I1039" s="3"/>
      <c r="J1039" s="3"/>
      <c r="K1039" s="3"/>
      <c r="L1039" s="3"/>
      <c r="M1039" s="3"/>
      <c r="N1039" s="3"/>
      <c r="O1039" s="3"/>
      <c r="P1039" s="3"/>
      <c r="Q1039" s="4"/>
      <c r="R1039" s="3"/>
      <c r="S1039" s="3"/>
      <c r="T1039" s="3"/>
      <c r="U1039" s="3"/>
    </row>
    <row r="1040">
      <c r="A1040" s="3"/>
      <c r="B1040" s="3"/>
      <c r="C1040" s="3"/>
      <c r="D1040" s="3"/>
      <c r="E1040" s="4"/>
      <c r="F1040" s="3"/>
      <c r="G1040" s="5"/>
      <c r="H1040" s="3"/>
      <c r="I1040" s="3"/>
      <c r="J1040" s="3"/>
      <c r="K1040" s="3"/>
      <c r="L1040" s="3"/>
      <c r="M1040" s="3"/>
      <c r="N1040" s="3"/>
      <c r="O1040" s="3"/>
      <c r="P1040" s="3"/>
      <c r="Q1040" s="4"/>
      <c r="R1040" s="3"/>
      <c r="S1040" s="3"/>
      <c r="T1040" s="3"/>
      <c r="U1040" s="3"/>
    </row>
    <row r="1041">
      <c r="A1041" s="3"/>
      <c r="B1041" s="3"/>
      <c r="C1041" s="3"/>
      <c r="D1041" s="3"/>
      <c r="E1041" s="4"/>
      <c r="F1041" s="3"/>
      <c r="G1041" s="5"/>
      <c r="H1041" s="3"/>
      <c r="I1041" s="3"/>
      <c r="J1041" s="3"/>
      <c r="K1041" s="3"/>
      <c r="L1041" s="3"/>
      <c r="M1041" s="3"/>
      <c r="N1041" s="3"/>
      <c r="O1041" s="3"/>
      <c r="P1041" s="3"/>
      <c r="Q1041" s="4"/>
      <c r="R1041" s="3"/>
      <c r="S1041" s="3"/>
      <c r="T1041" s="3"/>
      <c r="U1041" s="3"/>
    </row>
    <row r="1042">
      <c r="A1042" s="3"/>
      <c r="B1042" s="3"/>
      <c r="C1042" s="3"/>
      <c r="D1042" s="3"/>
      <c r="E1042" s="4"/>
      <c r="F1042" s="3"/>
      <c r="G1042" s="5"/>
      <c r="H1042" s="3"/>
      <c r="I1042" s="3"/>
      <c r="J1042" s="3"/>
      <c r="K1042" s="3"/>
      <c r="L1042" s="3"/>
      <c r="M1042" s="3"/>
      <c r="N1042" s="3"/>
      <c r="O1042" s="3"/>
      <c r="P1042" s="3"/>
      <c r="Q1042" s="4"/>
      <c r="R1042" s="3"/>
      <c r="S1042" s="3"/>
      <c r="T1042" s="3"/>
      <c r="U1042" s="3"/>
    </row>
    <row r="1043">
      <c r="A1043" s="3"/>
      <c r="B1043" s="3"/>
      <c r="C1043" s="3"/>
      <c r="D1043" s="3"/>
      <c r="E1043" s="4"/>
      <c r="F1043" s="3"/>
      <c r="G1043" s="5"/>
      <c r="H1043" s="3"/>
      <c r="I1043" s="3"/>
      <c r="J1043" s="3"/>
      <c r="K1043" s="3"/>
      <c r="L1043" s="3"/>
      <c r="M1043" s="3"/>
      <c r="N1043" s="3"/>
      <c r="O1043" s="3"/>
      <c r="P1043" s="3"/>
      <c r="Q1043" s="4"/>
      <c r="R1043" s="3"/>
      <c r="S1043" s="3"/>
      <c r="T1043" s="3"/>
      <c r="U1043" s="3"/>
    </row>
    <row r="1044">
      <c r="A1044" s="3"/>
      <c r="B1044" s="3"/>
      <c r="C1044" s="3"/>
      <c r="D1044" s="3"/>
      <c r="E1044" s="4"/>
      <c r="F1044" s="3"/>
      <c r="G1044" s="5"/>
      <c r="H1044" s="3"/>
      <c r="I1044" s="3"/>
      <c r="J1044" s="3"/>
      <c r="K1044" s="3"/>
      <c r="L1044" s="3"/>
      <c r="M1044" s="3"/>
      <c r="N1044" s="3"/>
      <c r="O1044" s="3"/>
      <c r="P1044" s="3"/>
      <c r="Q1044" s="4"/>
      <c r="R1044" s="3"/>
      <c r="S1044" s="3"/>
      <c r="T1044" s="3"/>
      <c r="U1044" s="3"/>
    </row>
    <row r="1045">
      <c r="A1045" s="3"/>
      <c r="B1045" s="3"/>
      <c r="C1045" s="3"/>
      <c r="D1045" s="3"/>
      <c r="E1045" s="4"/>
      <c r="F1045" s="3"/>
      <c r="G1045" s="5"/>
      <c r="H1045" s="3"/>
      <c r="I1045" s="3"/>
      <c r="J1045" s="3"/>
      <c r="K1045" s="3"/>
      <c r="L1045" s="3"/>
      <c r="M1045" s="3"/>
      <c r="N1045" s="3"/>
      <c r="O1045" s="3"/>
      <c r="P1045" s="3"/>
      <c r="Q1045" s="4"/>
      <c r="R1045" s="3"/>
      <c r="S1045" s="3"/>
      <c r="T1045" s="3"/>
      <c r="U1045" s="3"/>
    </row>
    <row r="1046">
      <c r="A1046" s="3"/>
      <c r="B1046" s="3"/>
      <c r="C1046" s="3"/>
      <c r="D1046" s="3"/>
      <c r="E1046" s="4"/>
      <c r="F1046" s="3"/>
      <c r="G1046" s="5"/>
      <c r="H1046" s="3"/>
      <c r="I1046" s="3"/>
      <c r="J1046" s="3"/>
      <c r="K1046" s="3"/>
      <c r="L1046" s="3"/>
      <c r="M1046" s="3"/>
      <c r="N1046" s="3"/>
      <c r="O1046" s="3"/>
      <c r="P1046" s="3"/>
      <c r="Q1046" s="4"/>
      <c r="R1046" s="3"/>
      <c r="S1046" s="3"/>
      <c r="T1046" s="3"/>
      <c r="U1046" s="3"/>
    </row>
    <row r="1047">
      <c r="A1047" s="3"/>
      <c r="B1047" s="3"/>
      <c r="C1047" s="3"/>
      <c r="D1047" s="3"/>
      <c r="E1047" s="4"/>
      <c r="F1047" s="3"/>
      <c r="G1047" s="5"/>
      <c r="H1047" s="3"/>
      <c r="I1047" s="3"/>
      <c r="J1047" s="3"/>
      <c r="K1047" s="3"/>
      <c r="L1047" s="3"/>
      <c r="M1047" s="3"/>
      <c r="N1047" s="3"/>
      <c r="O1047" s="3"/>
      <c r="P1047" s="3"/>
      <c r="Q1047" s="4"/>
      <c r="R1047" s="3"/>
      <c r="S1047" s="3"/>
      <c r="T1047" s="3"/>
      <c r="U1047" s="3"/>
    </row>
    <row r="1048">
      <c r="A1048" s="3"/>
      <c r="B1048" s="3"/>
      <c r="C1048" s="3"/>
      <c r="D1048" s="3"/>
      <c r="E1048" s="4"/>
      <c r="F1048" s="3"/>
      <c r="G1048" s="5"/>
      <c r="H1048" s="3"/>
      <c r="I1048" s="3"/>
      <c r="J1048" s="3"/>
      <c r="K1048" s="3"/>
      <c r="L1048" s="3"/>
      <c r="M1048" s="3"/>
      <c r="N1048" s="3"/>
      <c r="O1048" s="3"/>
      <c r="P1048" s="3"/>
      <c r="Q1048" s="4"/>
      <c r="R1048" s="3"/>
      <c r="S1048" s="3"/>
      <c r="T1048" s="3"/>
      <c r="U1048" s="3"/>
    </row>
    <row r="1049">
      <c r="A1049" s="3"/>
      <c r="B1049" s="3"/>
      <c r="C1049" s="3"/>
      <c r="D1049" s="3"/>
      <c r="E1049" s="4"/>
      <c r="F1049" s="3"/>
      <c r="G1049" s="5"/>
      <c r="H1049" s="3"/>
      <c r="I1049" s="3"/>
      <c r="J1049" s="3"/>
      <c r="K1049" s="3"/>
      <c r="L1049" s="3"/>
      <c r="M1049" s="3"/>
      <c r="N1049" s="3"/>
      <c r="O1049" s="3"/>
      <c r="P1049" s="3"/>
      <c r="Q1049" s="4"/>
      <c r="R1049" s="3"/>
      <c r="S1049" s="3"/>
      <c r="T1049" s="3"/>
      <c r="U1049" s="3"/>
    </row>
    <row r="1050">
      <c r="A1050" s="3"/>
      <c r="B1050" s="3"/>
      <c r="C1050" s="3"/>
      <c r="D1050" s="3"/>
      <c r="E1050" s="4"/>
      <c r="F1050" s="3"/>
      <c r="G1050" s="5"/>
      <c r="H1050" s="3"/>
      <c r="I1050" s="3"/>
      <c r="J1050" s="3"/>
      <c r="K1050" s="3"/>
      <c r="L1050" s="3"/>
      <c r="M1050" s="3"/>
      <c r="N1050" s="3"/>
      <c r="O1050" s="3"/>
      <c r="P1050" s="3"/>
      <c r="Q1050" s="4"/>
      <c r="R1050" s="3"/>
      <c r="S1050" s="3"/>
      <c r="T1050" s="3"/>
      <c r="U1050" s="3"/>
    </row>
    <row r="1051">
      <c r="A1051" s="3"/>
      <c r="B1051" s="3"/>
      <c r="C1051" s="3"/>
      <c r="D1051" s="3"/>
      <c r="E1051" s="4"/>
      <c r="F1051" s="3"/>
      <c r="G1051" s="5"/>
      <c r="H1051" s="3"/>
      <c r="I1051" s="3"/>
      <c r="J1051" s="3"/>
      <c r="K1051" s="3"/>
      <c r="L1051" s="3"/>
      <c r="M1051" s="3"/>
      <c r="N1051" s="3"/>
      <c r="O1051" s="3"/>
      <c r="P1051" s="3"/>
      <c r="Q1051" s="4"/>
      <c r="R1051" s="3"/>
      <c r="S1051" s="3"/>
      <c r="T1051" s="3"/>
      <c r="U1051" s="3"/>
    </row>
    <row r="1052">
      <c r="A1052" s="3"/>
      <c r="B1052" s="3"/>
      <c r="C1052" s="3"/>
      <c r="D1052" s="3"/>
      <c r="E1052" s="4"/>
      <c r="F1052" s="3"/>
      <c r="G1052" s="5"/>
      <c r="H1052" s="3"/>
      <c r="I1052" s="3"/>
      <c r="J1052" s="3"/>
      <c r="K1052" s="3"/>
      <c r="L1052" s="3"/>
      <c r="M1052" s="3"/>
      <c r="N1052" s="3"/>
      <c r="O1052" s="3"/>
      <c r="P1052" s="3"/>
      <c r="Q1052" s="4"/>
      <c r="R1052" s="3"/>
      <c r="S1052" s="3"/>
      <c r="T1052" s="3"/>
      <c r="U1052" s="3"/>
    </row>
    <row r="1053">
      <c r="A1053" s="3"/>
      <c r="B1053" s="3"/>
      <c r="C1053" s="3"/>
      <c r="D1053" s="3"/>
      <c r="E1053" s="4"/>
      <c r="F1053" s="3"/>
      <c r="G1053" s="5"/>
      <c r="H1053" s="3"/>
      <c r="I1053" s="3"/>
      <c r="J1053" s="3"/>
      <c r="K1053" s="3"/>
      <c r="L1053" s="3"/>
      <c r="M1053" s="3"/>
      <c r="N1053" s="3"/>
      <c r="O1053" s="3"/>
      <c r="P1053" s="3"/>
      <c r="Q1053" s="4"/>
      <c r="R1053" s="3"/>
      <c r="S1053" s="3"/>
      <c r="T1053" s="3"/>
      <c r="U1053" s="3"/>
    </row>
    <row r="1054">
      <c r="A1054" s="3"/>
      <c r="B1054" s="3"/>
      <c r="C1054" s="3"/>
      <c r="D1054" s="3"/>
      <c r="E1054" s="4"/>
      <c r="F1054" s="3"/>
      <c r="G1054" s="5"/>
      <c r="H1054" s="3"/>
      <c r="I1054" s="3"/>
      <c r="J1054" s="3"/>
      <c r="K1054" s="3"/>
      <c r="L1054" s="3"/>
      <c r="M1054" s="3"/>
      <c r="N1054" s="3"/>
      <c r="O1054" s="3"/>
      <c r="P1054" s="3"/>
      <c r="Q1054" s="4"/>
      <c r="R1054" s="3"/>
      <c r="S1054" s="3"/>
      <c r="T1054" s="3"/>
      <c r="U1054" s="3"/>
    </row>
    <row r="1055">
      <c r="A1055" s="3"/>
      <c r="B1055" s="3"/>
      <c r="C1055" s="3"/>
      <c r="D1055" s="3"/>
      <c r="E1055" s="4"/>
      <c r="F1055" s="3"/>
      <c r="G1055" s="5"/>
      <c r="H1055" s="3"/>
      <c r="I1055" s="3"/>
      <c r="J1055" s="3"/>
      <c r="K1055" s="3"/>
      <c r="L1055" s="3"/>
      <c r="M1055" s="3"/>
      <c r="N1055" s="3"/>
      <c r="O1055" s="3"/>
      <c r="P1055" s="3"/>
      <c r="Q1055" s="4"/>
      <c r="R1055" s="3"/>
      <c r="S1055" s="3"/>
      <c r="T1055" s="3"/>
      <c r="U1055" s="3"/>
    </row>
    <row r="1056">
      <c r="A1056" s="3"/>
      <c r="B1056" s="3"/>
      <c r="C1056" s="3"/>
      <c r="D1056" s="3"/>
      <c r="E1056" s="4"/>
      <c r="F1056" s="3"/>
      <c r="G1056" s="5"/>
      <c r="H1056" s="3"/>
      <c r="I1056" s="3"/>
      <c r="J1056" s="3"/>
      <c r="K1056" s="3"/>
      <c r="L1056" s="3"/>
      <c r="M1056" s="3"/>
      <c r="N1056" s="3"/>
      <c r="O1056" s="3"/>
      <c r="P1056" s="3"/>
      <c r="Q1056" s="4"/>
      <c r="R1056" s="3"/>
      <c r="S1056" s="3"/>
      <c r="T1056" s="3"/>
      <c r="U1056" s="3"/>
    </row>
    <row r="1057">
      <c r="A1057" s="3"/>
      <c r="B1057" s="3"/>
      <c r="C1057" s="3"/>
      <c r="D1057" s="3"/>
      <c r="E1057" s="4"/>
      <c r="F1057" s="3"/>
      <c r="G1057" s="5"/>
      <c r="H1057" s="3"/>
      <c r="I1057" s="3"/>
      <c r="J1057" s="3"/>
      <c r="K1057" s="3"/>
      <c r="L1057" s="3"/>
      <c r="M1057" s="3"/>
      <c r="N1057" s="3"/>
      <c r="O1057" s="3"/>
      <c r="P1057" s="3"/>
      <c r="Q1057" s="4"/>
      <c r="R1057" s="3"/>
      <c r="S1057" s="3"/>
      <c r="T1057" s="3"/>
      <c r="U1057" s="3"/>
    </row>
    <row r="1058">
      <c r="A1058" s="3"/>
      <c r="B1058" s="3"/>
      <c r="C1058" s="3"/>
      <c r="D1058" s="3"/>
      <c r="E1058" s="4"/>
      <c r="F1058" s="3"/>
      <c r="G1058" s="5"/>
      <c r="H1058" s="3"/>
      <c r="I1058" s="3"/>
      <c r="J1058" s="3"/>
      <c r="K1058" s="3"/>
      <c r="L1058" s="3"/>
      <c r="M1058" s="3"/>
      <c r="N1058" s="3"/>
      <c r="O1058" s="3"/>
      <c r="P1058" s="3"/>
      <c r="Q1058" s="4"/>
      <c r="R1058" s="3"/>
      <c r="S1058" s="3"/>
      <c r="T1058" s="3"/>
      <c r="U1058" s="3"/>
    </row>
    <row r="1059">
      <c r="A1059" s="3"/>
      <c r="B1059" s="3"/>
      <c r="C1059" s="3"/>
      <c r="D1059" s="3"/>
      <c r="E1059" s="4"/>
      <c r="F1059" s="3"/>
      <c r="G1059" s="5"/>
      <c r="H1059" s="3"/>
      <c r="I1059" s="3"/>
      <c r="J1059" s="3"/>
      <c r="K1059" s="3"/>
      <c r="L1059" s="3"/>
      <c r="M1059" s="3"/>
      <c r="N1059" s="3"/>
      <c r="O1059" s="3"/>
      <c r="P1059" s="3"/>
      <c r="Q1059" s="4"/>
      <c r="R1059" s="3"/>
      <c r="S1059" s="3"/>
      <c r="T1059" s="3"/>
      <c r="U1059" s="3"/>
    </row>
    <row r="1060">
      <c r="A1060" s="3"/>
      <c r="B1060" s="3"/>
      <c r="C1060" s="3"/>
      <c r="D1060" s="3"/>
      <c r="E1060" s="4"/>
      <c r="F1060" s="3"/>
      <c r="G1060" s="5"/>
      <c r="H1060" s="3"/>
      <c r="I1060" s="3"/>
      <c r="J1060" s="3"/>
      <c r="K1060" s="3"/>
      <c r="L1060" s="3"/>
      <c r="M1060" s="3"/>
      <c r="N1060" s="3"/>
      <c r="O1060" s="3"/>
      <c r="P1060" s="3"/>
      <c r="Q1060" s="4"/>
      <c r="R1060" s="3"/>
      <c r="S1060" s="3"/>
      <c r="T1060" s="3"/>
      <c r="U1060" s="3"/>
    </row>
    <row r="1061">
      <c r="A1061" s="3"/>
      <c r="B1061" s="3"/>
      <c r="C1061" s="3"/>
      <c r="D1061" s="3"/>
      <c r="E1061" s="4"/>
      <c r="F1061" s="3"/>
      <c r="G1061" s="5"/>
      <c r="H1061" s="3"/>
      <c r="I1061" s="3"/>
      <c r="J1061" s="3"/>
      <c r="K1061" s="3"/>
      <c r="L1061" s="3"/>
      <c r="M1061" s="3"/>
      <c r="N1061" s="3"/>
      <c r="O1061" s="3"/>
      <c r="P1061" s="3"/>
      <c r="Q1061" s="4"/>
      <c r="R1061" s="3"/>
      <c r="S1061" s="3"/>
      <c r="T1061" s="3"/>
      <c r="U1061" s="3"/>
    </row>
    <row r="1062">
      <c r="A1062" s="3"/>
      <c r="B1062" s="3"/>
      <c r="C1062" s="3"/>
      <c r="D1062" s="3"/>
      <c r="E1062" s="4"/>
      <c r="F1062" s="3"/>
      <c r="G1062" s="5"/>
      <c r="H1062" s="3"/>
      <c r="I1062" s="3"/>
      <c r="J1062" s="3"/>
      <c r="K1062" s="3"/>
      <c r="L1062" s="3"/>
      <c r="M1062" s="3"/>
      <c r="N1062" s="3"/>
      <c r="O1062" s="3"/>
      <c r="P1062" s="3"/>
      <c r="Q1062" s="4"/>
      <c r="R1062" s="3"/>
      <c r="S1062" s="3"/>
      <c r="T1062" s="3"/>
      <c r="U1062" s="3"/>
    </row>
    <row r="1063">
      <c r="A1063" s="3"/>
      <c r="B1063" s="3"/>
      <c r="C1063" s="3"/>
      <c r="D1063" s="3"/>
      <c r="E1063" s="4"/>
      <c r="F1063" s="3"/>
      <c r="G1063" s="5"/>
      <c r="H1063" s="3"/>
      <c r="I1063" s="3"/>
      <c r="J1063" s="3"/>
      <c r="K1063" s="3"/>
      <c r="L1063" s="3"/>
      <c r="M1063" s="3"/>
      <c r="N1063" s="3"/>
      <c r="O1063" s="3"/>
      <c r="P1063" s="3"/>
      <c r="Q1063" s="4"/>
      <c r="R1063" s="3"/>
      <c r="S1063" s="3"/>
      <c r="T1063" s="3"/>
      <c r="U1063" s="3"/>
    </row>
    <row r="1064">
      <c r="A1064" s="3"/>
      <c r="B1064" s="3"/>
      <c r="C1064" s="3"/>
      <c r="D1064" s="3"/>
      <c r="E1064" s="4"/>
      <c r="F1064" s="3"/>
      <c r="G1064" s="5"/>
      <c r="H1064" s="3"/>
      <c r="I1064" s="3"/>
      <c r="J1064" s="3"/>
      <c r="K1064" s="3"/>
      <c r="L1064" s="3"/>
      <c r="M1064" s="3"/>
      <c r="N1064" s="3"/>
      <c r="O1064" s="3"/>
      <c r="P1064" s="3"/>
      <c r="Q1064" s="4"/>
      <c r="R1064" s="3"/>
      <c r="S1064" s="3"/>
      <c r="T1064" s="3"/>
      <c r="U1064" s="3"/>
    </row>
    <row r="1065">
      <c r="A1065" s="3"/>
      <c r="B1065" s="3"/>
      <c r="C1065" s="3"/>
      <c r="D1065" s="3"/>
      <c r="E1065" s="4"/>
      <c r="F1065" s="3"/>
      <c r="G1065" s="5"/>
      <c r="H1065" s="3"/>
      <c r="I1065" s="3"/>
      <c r="J1065" s="3"/>
      <c r="K1065" s="3"/>
      <c r="L1065" s="3"/>
      <c r="M1065" s="3"/>
      <c r="N1065" s="3"/>
      <c r="O1065" s="3"/>
      <c r="P1065" s="3"/>
      <c r="Q1065" s="4"/>
      <c r="R1065" s="3"/>
      <c r="S1065" s="3"/>
      <c r="T1065" s="3"/>
      <c r="U1065" s="3"/>
    </row>
    <row r="1066">
      <c r="A1066" s="3"/>
      <c r="B1066" s="3"/>
      <c r="C1066" s="3"/>
      <c r="D1066" s="3"/>
      <c r="E1066" s="4"/>
      <c r="F1066" s="3"/>
      <c r="G1066" s="5"/>
      <c r="H1066" s="3"/>
      <c r="I1066" s="3"/>
      <c r="J1066" s="3"/>
      <c r="K1066" s="3"/>
      <c r="L1066" s="3"/>
      <c r="M1066" s="3"/>
      <c r="N1066" s="3"/>
      <c r="O1066" s="3"/>
      <c r="P1066" s="3"/>
      <c r="Q1066" s="4"/>
      <c r="R1066" s="3"/>
      <c r="S1066" s="3"/>
      <c r="T1066" s="3"/>
      <c r="U1066" s="3"/>
    </row>
    <row r="1067">
      <c r="A1067" s="3"/>
      <c r="B1067" s="3"/>
      <c r="C1067" s="3"/>
      <c r="D1067" s="3"/>
      <c r="E1067" s="4"/>
      <c r="F1067" s="3"/>
      <c r="G1067" s="5"/>
      <c r="H1067" s="3"/>
      <c r="I1067" s="3"/>
      <c r="J1067" s="3"/>
      <c r="K1067" s="3"/>
      <c r="L1067" s="3"/>
      <c r="M1067" s="3"/>
      <c r="N1067" s="3"/>
      <c r="O1067" s="3"/>
      <c r="P1067" s="3"/>
      <c r="Q1067" s="4"/>
      <c r="R1067" s="3"/>
      <c r="S1067" s="3"/>
      <c r="T1067" s="3"/>
      <c r="U1067" s="3"/>
    </row>
    <row r="1068">
      <c r="A1068" s="3"/>
      <c r="B1068" s="3"/>
      <c r="C1068" s="3"/>
      <c r="D1068" s="3"/>
      <c r="E1068" s="4"/>
      <c r="F1068" s="3"/>
      <c r="G1068" s="5"/>
      <c r="H1068" s="3"/>
      <c r="I1068" s="3"/>
      <c r="J1068" s="3"/>
      <c r="K1068" s="3"/>
      <c r="L1068" s="3"/>
      <c r="M1068" s="3"/>
      <c r="N1068" s="3"/>
      <c r="O1068" s="3"/>
      <c r="P1068" s="3"/>
      <c r="Q1068" s="4"/>
      <c r="R1068" s="3"/>
      <c r="S1068" s="3"/>
      <c r="T1068" s="3"/>
      <c r="U1068" s="3"/>
    </row>
    <row r="1069">
      <c r="A1069" s="3"/>
      <c r="B1069" s="3"/>
      <c r="C1069" s="3"/>
      <c r="D1069" s="3"/>
      <c r="E1069" s="4"/>
      <c r="F1069" s="3"/>
      <c r="G1069" s="5"/>
      <c r="H1069" s="3"/>
      <c r="I1069" s="3"/>
      <c r="J1069" s="3"/>
      <c r="K1069" s="3"/>
      <c r="L1069" s="3"/>
      <c r="M1069" s="3"/>
      <c r="N1069" s="3"/>
      <c r="O1069" s="3"/>
      <c r="P1069" s="3"/>
      <c r="Q1069" s="4"/>
      <c r="R1069" s="3"/>
      <c r="S1069" s="3"/>
      <c r="T1069" s="3"/>
      <c r="U1069" s="3"/>
    </row>
    <row r="1070">
      <c r="A1070" s="3"/>
      <c r="B1070" s="3"/>
      <c r="C1070" s="3"/>
      <c r="D1070" s="3"/>
      <c r="E1070" s="4"/>
      <c r="F1070" s="3"/>
      <c r="G1070" s="5"/>
      <c r="H1070" s="3"/>
      <c r="I1070" s="3"/>
      <c r="J1070" s="3"/>
      <c r="K1070" s="3"/>
      <c r="L1070" s="3"/>
      <c r="M1070" s="3"/>
      <c r="N1070" s="3"/>
      <c r="O1070" s="3"/>
      <c r="P1070" s="3"/>
      <c r="Q1070" s="4"/>
      <c r="R1070" s="3"/>
      <c r="S1070" s="3"/>
      <c r="T1070" s="3"/>
      <c r="U1070" s="3"/>
    </row>
    <row r="1071">
      <c r="A1071" s="3"/>
      <c r="B1071" s="3"/>
      <c r="C1071" s="3"/>
      <c r="D1071" s="3"/>
      <c r="E1071" s="4"/>
      <c r="F1071" s="3"/>
      <c r="G1071" s="5"/>
      <c r="H1071" s="3"/>
      <c r="I1071" s="3"/>
      <c r="J1071" s="3"/>
      <c r="K1071" s="3"/>
      <c r="L1071" s="3"/>
      <c r="M1071" s="3"/>
      <c r="N1071" s="3"/>
      <c r="O1071" s="3"/>
      <c r="P1071" s="3"/>
      <c r="Q1071" s="4"/>
      <c r="R1071" s="3"/>
      <c r="S1071" s="3"/>
      <c r="T1071" s="3"/>
      <c r="U1071" s="3"/>
    </row>
    <row r="1072">
      <c r="A1072" s="3"/>
      <c r="B1072" s="3"/>
      <c r="C1072" s="3"/>
      <c r="D1072" s="3"/>
      <c r="E1072" s="4"/>
      <c r="F1072" s="3"/>
      <c r="G1072" s="5"/>
      <c r="H1072" s="3"/>
      <c r="I1072" s="3"/>
      <c r="J1072" s="3"/>
      <c r="K1072" s="3"/>
      <c r="L1072" s="3"/>
      <c r="M1072" s="3"/>
      <c r="N1072" s="3"/>
      <c r="O1072" s="3"/>
      <c r="P1072" s="3"/>
      <c r="Q1072" s="4"/>
      <c r="R1072" s="3"/>
      <c r="S1072" s="3"/>
      <c r="T1072" s="3"/>
      <c r="U1072" s="3"/>
    </row>
    <row r="1073">
      <c r="A1073" s="3"/>
      <c r="B1073" s="3"/>
      <c r="C1073" s="3"/>
      <c r="D1073" s="3"/>
      <c r="E1073" s="4"/>
      <c r="F1073" s="3"/>
      <c r="G1073" s="5"/>
      <c r="H1073" s="3"/>
      <c r="I1073" s="3"/>
      <c r="J1073" s="3"/>
      <c r="K1073" s="3"/>
      <c r="L1073" s="3"/>
      <c r="M1073" s="3"/>
      <c r="N1073" s="3"/>
      <c r="O1073" s="3"/>
      <c r="P1073" s="3"/>
      <c r="Q1073" s="4"/>
      <c r="R1073" s="3"/>
      <c r="S1073" s="3"/>
      <c r="T1073" s="3"/>
      <c r="U1073" s="3"/>
    </row>
    <row r="1074">
      <c r="A1074" s="3"/>
      <c r="B1074" s="3"/>
      <c r="C1074" s="3"/>
      <c r="D1074" s="3"/>
      <c r="E1074" s="4"/>
      <c r="F1074" s="3"/>
      <c r="G1074" s="5"/>
      <c r="H1074" s="3"/>
      <c r="I1074" s="3"/>
      <c r="J1074" s="3"/>
      <c r="K1074" s="3"/>
      <c r="L1074" s="3"/>
      <c r="M1074" s="3"/>
      <c r="N1074" s="3"/>
      <c r="O1074" s="3"/>
      <c r="P1074" s="3"/>
      <c r="Q1074" s="4"/>
      <c r="R1074" s="3"/>
      <c r="S1074" s="3"/>
      <c r="T1074" s="3"/>
      <c r="U1074" s="3"/>
    </row>
    <row r="1075">
      <c r="A1075" s="3"/>
      <c r="B1075" s="3"/>
      <c r="C1075" s="3"/>
      <c r="D1075" s="3"/>
      <c r="E1075" s="4"/>
      <c r="F1075" s="3"/>
      <c r="G1075" s="5"/>
      <c r="H1075" s="3"/>
      <c r="I1075" s="3"/>
      <c r="J1075" s="3"/>
      <c r="K1075" s="3"/>
      <c r="L1075" s="3"/>
      <c r="M1075" s="3"/>
      <c r="N1075" s="3"/>
      <c r="O1075" s="3"/>
      <c r="P1075" s="3"/>
      <c r="Q1075" s="4"/>
      <c r="R1075" s="3"/>
      <c r="S1075" s="3"/>
      <c r="T1075" s="3"/>
      <c r="U1075" s="3"/>
    </row>
    <row r="1076">
      <c r="A1076" s="3"/>
      <c r="B1076" s="3"/>
      <c r="C1076" s="3"/>
      <c r="D1076" s="3"/>
      <c r="E1076" s="4"/>
      <c r="F1076" s="3"/>
      <c r="G1076" s="5"/>
      <c r="H1076" s="3"/>
      <c r="I1076" s="3"/>
      <c r="J1076" s="3"/>
      <c r="K1076" s="3"/>
      <c r="L1076" s="3"/>
      <c r="M1076" s="3"/>
      <c r="N1076" s="3"/>
      <c r="O1076" s="3"/>
      <c r="P1076" s="3"/>
      <c r="S1076" s="3"/>
      <c r="T1076" s="3"/>
      <c r="U1076" s="3"/>
    </row>
    <row r="1077">
      <c r="A1077" s="3"/>
      <c r="B1077" s="3"/>
      <c r="C1077" s="3"/>
      <c r="D1077" s="3"/>
      <c r="E1077" s="4"/>
      <c r="F1077" s="3"/>
      <c r="G1077" s="5"/>
      <c r="H1077" s="3"/>
      <c r="I1077" s="3"/>
      <c r="J1077" s="3"/>
      <c r="K1077" s="3"/>
      <c r="L1077" s="3"/>
      <c r="M1077" s="3"/>
      <c r="N1077" s="3"/>
      <c r="O1077" s="3"/>
      <c r="P1077" s="3"/>
      <c r="S1077" s="3"/>
      <c r="T1077" s="3"/>
      <c r="U1077" s="3"/>
    </row>
    <row r="1078">
      <c r="A1078" s="3"/>
      <c r="D1078" s="3"/>
      <c r="E1078" s="4"/>
      <c r="F1078" s="3"/>
      <c r="G1078" s="5"/>
      <c r="H1078" s="3"/>
      <c r="I1078" s="3"/>
      <c r="J1078" s="3"/>
      <c r="K1078" s="3"/>
      <c r="L1078" s="3"/>
      <c r="M1078" s="3"/>
      <c r="N1078" s="3"/>
      <c r="O1078" s="3"/>
      <c r="P1078" s="3"/>
      <c r="S1078" s="3"/>
      <c r="T1078" s="3"/>
      <c r="U1078" s="3"/>
    </row>
  </sheetData>
  <mergeCells count="2">
    <mergeCell ref="B1:C1"/>
    <mergeCell ref="E128:F128"/>
  </mergeCells>
  <conditionalFormatting sqref="J19">
    <cfRule type="cellIs" dxfId="0" priority="1" operator="lessThan">
      <formula>0</formula>
    </cfRule>
  </conditionalFormatting>
  <conditionalFormatting sqref="J19">
    <cfRule type="cellIs" dxfId="1" priority="2" operator="greaterThan">
      <formula>0</formula>
    </cfRule>
  </conditionalFormatting>
  <conditionalFormatting sqref="J19">
    <cfRule type="cellIs" dxfId="1" priority="3" operator="greaterThan">
      <formula>0</formula>
    </cfRule>
  </conditionalFormatting>
  <conditionalFormatting sqref="J19">
    <cfRule type="cellIs" dxfId="1" priority="4" operator="greaterThan">
      <formula>0</formula>
    </cfRule>
  </conditionalFormatting>
  <conditionalFormatting sqref="J45:J75">
    <cfRule type="expression" dxfId="0" priority="5">
      <formula>J45&gt;$L$45</formula>
    </cfRule>
  </conditionalFormatting>
  <dataValidations>
    <dataValidation type="list" allowBlank="1" showErrorMessage="1" sqref="E5:E127">
      <formula1>'26Oct'!$I$45:$I$75</formula1>
    </dataValidation>
    <dataValidation type="list" allowBlank="1" showErrorMessage="1" sqref="B24:B26">
      <formula1>"ChatGPT,iCloud Storage,Nuro Hikari,Spotify,House Rent,Tuition,Rakuten Mobile,YouTube Premium,Electricity,Water Server,Water,Netflix"</formula1>
    </dataValidation>
    <dataValidation type="list" allowBlank="1" showErrorMessage="1" sqref="B5">
      <formula1>"Salary,Allowance"</formula1>
    </dataValidation>
    <dataValidation type="list" allowBlank="1" showErrorMessage="1" sqref="B18:B23">
      <formula1>"ChatGPT,iCloud Storage,Nuro Hikari,Spotify,House Rent,Tuition,Rakuten Mobile,YouTube,Electricity,Water"</formula1>
    </dataValidation>
    <dataValidation type="list" allowBlank="1" showErrorMessage="1" sqref="L5:L17 F5:F127">
      <formula1>"🚇 Suica,🍔 Eat Out,🛒 Grocery,🏪 Konbini,💊 Medical,🤩 Friends,🏔️ Leisure,🧴 Beauty,👘 Fashion,📖 Learning"</formula1>
    </dataValidation>
  </dataValidations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17.5"/>
    <col customWidth="1" min="3" max="3" width="12.13"/>
    <col customWidth="1" min="4" max="4" width="3.5"/>
    <col customWidth="1" min="5" max="5" width="15.13"/>
    <col customWidth="1" min="6" max="6" width="17.0"/>
    <col customWidth="1" min="8" max="8" width="3.5"/>
    <col customWidth="1" min="9" max="9" width="19.0"/>
    <col customWidth="1" min="10" max="10" width="11.13"/>
    <col customWidth="1" min="11" max="11" width="9.88"/>
    <col customWidth="1" min="12" max="12" width="16.38"/>
    <col customWidth="1" min="13" max="13" width="12.88"/>
    <col customWidth="1" min="14" max="14" width="10.0"/>
    <col customWidth="1" min="17" max="17" width="14.38"/>
  </cols>
  <sheetData>
    <row r="1">
      <c r="A1" s="1"/>
      <c r="B1" s="2">
        <v>46327.0</v>
      </c>
      <c r="D1" s="3"/>
      <c r="E1" s="3"/>
      <c r="F1" s="3"/>
      <c r="G1" s="5"/>
      <c r="H1" s="3"/>
      <c r="I1" s="3"/>
      <c r="J1" s="3"/>
      <c r="K1" s="3"/>
      <c r="L1" s="3"/>
      <c r="M1" s="3"/>
      <c r="N1" s="3"/>
      <c r="O1" s="3"/>
      <c r="P1" s="3"/>
      <c r="Q1" s="4"/>
      <c r="R1" s="3"/>
      <c r="S1" s="3"/>
      <c r="T1" s="3"/>
      <c r="U1" s="3"/>
    </row>
    <row r="2">
      <c r="A2" s="3"/>
      <c r="B2" s="3"/>
      <c r="C2" s="3"/>
      <c r="D2" s="3"/>
      <c r="E2" s="4"/>
      <c r="F2" s="3"/>
      <c r="G2" s="5"/>
      <c r="H2" s="3"/>
      <c r="I2" s="3"/>
      <c r="J2" s="3"/>
      <c r="K2" s="3"/>
      <c r="L2" s="3"/>
      <c r="M2" s="3"/>
      <c r="N2" s="3"/>
      <c r="O2" s="3"/>
      <c r="P2" s="3"/>
      <c r="Q2" s="4"/>
      <c r="R2" s="3"/>
      <c r="S2" s="3"/>
      <c r="T2" s="3"/>
      <c r="U2" s="3"/>
    </row>
    <row r="3">
      <c r="A3" s="3"/>
      <c r="B3" s="6" t="s">
        <v>0</v>
      </c>
      <c r="C3" s="3"/>
      <c r="D3" s="3"/>
      <c r="E3" s="6" t="s">
        <v>1</v>
      </c>
      <c r="F3" s="3"/>
      <c r="G3" s="5"/>
      <c r="H3" s="3"/>
      <c r="I3" s="6" t="s">
        <v>2</v>
      </c>
      <c r="J3" s="3"/>
      <c r="K3" s="3"/>
      <c r="L3" s="85" t="s">
        <v>47</v>
      </c>
      <c r="M3" s="3"/>
      <c r="N3" s="3"/>
      <c r="O3" s="3"/>
      <c r="P3" s="3"/>
      <c r="S3" s="3"/>
      <c r="T3" s="3"/>
      <c r="U3" s="3"/>
    </row>
    <row r="4">
      <c r="A4" s="3"/>
      <c r="B4" s="7" t="s">
        <v>3</v>
      </c>
      <c r="C4" s="8" t="s">
        <v>4</v>
      </c>
      <c r="D4" s="3"/>
      <c r="E4" s="9" t="s">
        <v>5</v>
      </c>
      <c r="F4" s="9" t="s">
        <v>3</v>
      </c>
      <c r="G4" s="10" t="s">
        <v>4</v>
      </c>
      <c r="H4" s="3"/>
      <c r="I4" s="11" t="s">
        <v>7</v>
      </c>
      <c r="J4" s="12">
        <f>C14</f>
        <v>640808</v>
      </c>
      <c r="K4" s="3"/>
      <c r="L4" s="9" t="s">
        <v>3</v>
      </c>
      <c r="M4" s="86" t="s">
        <v>4</v>
      </c>
      <c r="N4" s="3"/>
      <c r="O4" s="3"/>
      <c r="P4" s="3"/>
      <c r="S4" s="3"/>
      <c r="T4" s="3"/>
      <c r="U4" s="3"/>
    </row>
    <row r="5">
      <c r="A5" s="3"/>
      <c r="B5" s="13" t="s">
        <v>8</v>
      </c>
      <c r="C5" s="14">
        <v>640808.0</v>
      </c>
      <c r="D5" s="3"/>
      <c r="E5" s="15">
        <v>46320.0</v>
      </c>
      <c r="F5" s="16" t="s">
        <v>17</v>
      </c>
      <c r="G5" s="17">
        <v>1000.0</v>
      </c>
      <c r="H5" s="3"/>
      <c r="I5" s="19" t="s">
        <v>10</v>
      </c>
      <c r="J5" s="20">
        <f>G128+C39+M18</f>
        <v>113584</v>
      </c>
      <c r="K5" s="3"/>
      <c r="L5" s="87" t="s">
        <v>40</v>
      </c>
      <c r="M5" s="23">
        <v>28000.0</v>
      </c>
      <c r="N5" s="3"/>
      <c r="O5" s="3"/>
      <c r="P5" s="3"/>
      <c r="S5" s="3"/>
      <c r="T5" s="3"/>
      <c r="U5" s="3"/>
    </row>
    <row r="6">
      <c r="A6" s="3"/>
      <c r="B6" s="21"/>
      <c r="C6" s="22"/>
      <c r="D6" s="3"/>
      <c r="E6" s="15">
        <v>46320.0</v>
      </c>
      <c r="F6" s="16" t="s">
        <v>11</v>
      </c>
      <c r="G6" s="23">
        <v>1470.0</v>
      </c>
      <c r="H6" s="3"/>
      <c r="I6" s="24" t="s">
        <v>12</v>
      </c>
      <c r="J6" s="25">
        <f>J4-J5</f>
        <v>527224</v>
      </c>
      <c r="K6" s="3"/>
      <c r="L6" s="87"/>
      <c r="M6" s="23"/>
      <c r="N6" s="3"/>
      <c r="O6" s="3"/>
      <c r="P6" s="3"/>
      <c r="S6" s="3"/>
      <c r="T6" s="3"/>
      <c r="U6" s="3"/>
    </row>
    <row r="7">
      <c r="A7" s="3"/>
      <c r="B7" s="21"/>
      <c r="C7" s="26"/>
      <c r="D7" s="3"/>
      <c r="E7" s="15">
        <v>46322.0</v>
      </c>
      <c r="F7" s="16" t="s">
        <v>11</v>
      </c>
      <c r="G7" s="23">
        <v>3000.0</v>
      </c>
      <c r="H7" s="3"/>
      <c r="I7" s="1"/>
      <c r="J7" s="27"/>
      <c r="K7" s="3"/>
      <c r="L7" s="87"/>
      <c r="M7" s="23"/>
      <c r="N7" s="3"/>
      <c r="O7" s="3"/>
      <c r="P7" s="3"/>
      <c r="S7" s="3"/>
      <c r="T7" s="3"/>
      <c r="U7" s="3"/>
    </row>
    <row r="8">
      <c r="A8" s="3"/>
      <c r="B8" s="21"/>
      <c r="C8" s="26"/>
      <c r="D8" s="3"/>
      <c r="E8" s="15">
        <v>46322.0</v>
      </c>
      <c r="F8" s="16" t="s">
        <v>17</v>
      </c>
      <c r="G8" s="23">
        <v>1500.0</v>
      </c>
      <c r="H8" s="3"/>
      <c r="I8" s="6" t="s">
        <v>15</v>
      </c>
      <c r="J8" s="27"/>
      <c r="K8" s="3"/>
      <c r="L8" s="87"/>
      <c r="M8" s="23"/>
      <c r="N8" s="3"/>
      <c r="O8" s="3"/>
      <c r="P8" s="3"/>
      <c r="S8" s="3"/>
      <c r="T8" s="3"/>
      <c r="U8" s="3"/>
    </row>
    <row r="9">
      <c r="A9" s="3"/>
      <c r="B9" s="21"/>
      <c r="C9" s="26"/>
      <c r="D9" s="3"/>
      <c r="E9" s="15">
        <v>46323.0</v>
      </c>
      <c r="F9" s="16" t="s">
        <v>17</v>
      </c>
      <c r="G9" s="23">
        <v>1000.0</v>
      </c>
      <c r="H9" s="3"/>
      <c r="I9" s="28" t="s">
        <v>18</v>
      </c>
      <c r="J9" s="29">
        <f>EDATE(B1,-1) + 24</f>
        <v>46320</v>
      </c>
      <c r="K9" s="3"/>
      <c r="L9" s="87"/>
      <c r="M9" s="23"/>
      <c r="N9" s="30"/>
      <c r="O9" s="3"/>
      <c r="P9" s="3"/>
      <c r="S9" s="3"/>
      <c r="T9" s="3"/>
      <c r="U9" s="3"/>
    </row>
    <row r="10">
      <c r="A10" s="3"/>
      <c r="B10" s="21"/>
      <c r="C10" s="26"/>
      <c r="D10" s="3"/>
      <c r="E10" s="15">
        <v>46323.0</v>
      </c>
      <c r="F10" s="16" t="s">
        <v>11</v>
      </c>
      <c r="G10" s="23">
        <v>2900.0</v>
      </c>
      <c r="H10" s="3"/>
      <c r="I10" s="28" t="s">
        <v>19</v>
      </c>
      <c r="J10" s="31">
        <f>EDATE(B1,0) + 23</f>
        <v>46350</v>
      </c>
      <c r="K10" s="3"/>
      <c r="L10" s="87"/>
      <c r="M10" s="23"/>
      <c r="N10" s="3"/>
      <c r="O10" s="3"/>
      <c r="P10" s="3"/>
      <c r="S10" s="3"/>
      <c r="T10" s="3"/>
      <c r="U10" s="3"/>
    </row>
    <row r="11">
      <c r="A11" s="3"/>
      <c r="B11" s="21"/>
      <c r="C11" s="26"/>
      <c r="D11" s="3"/>
      <c r="E11" s="15">
        <v>46324.0</v>
      </c>
      <c r="F11" s="16" t="s">
        <v>11</v>
      </c>
      <c r="G11" s="23">
        <v>1740.0</v>
      </c>
      <c r="H11" s="3"/>
      <c r="I11" s="28" t="s">
        <v>20</v>
      </c>
      <c r="J11" s="31">
        <f>TODAY()</f>
        <v>46324</v>
      </c>
      <c r="K11" s="3"/>
      <c r="L11" s="87"/>
      <c r="M11" s="23"/>
      <c r="N11" s="3"/>
      <c r="O11" s="3"/>
      <c r="P11" s="3"/>
      <c r="S11" s="3"/>
      <c r="T11" s="3"/>
      <c r="U11" s="3"/>
    </row>
    <row r="12">
      <c r="A12" s="3"/>
      <c r="B12" s="21"/>
      <c r="C12" s="26"/>
      <c r="D12" s="3"/>
      <c r="E12" s="15">
        <v>46324.0</v>
      </c>
      <c r="F12" s="16" t="s">
        <v>16</v>
      </c>
      <c r="G12" s="23">
        <v>2397.0</v>
      </c>
      <c r="H12" s="3"/>
      <c r="I12" s="28" t="s">
        <v>21</v>
      </c>
      <c r="J12" s="32">
        <f>IF(AND(J11 &gt;= J9, J11 &lt;= J10), DATEDIF(J11,J10,"D") + 1, 0)</f>
        <v>27</v>
      </c>
      <c r="K12" s="3"/>
      <c r="L12" s="87"/>
      <c r="M12" s="23"/>
      <c r="N12" s="3"/>
      <c r="O12" s="3"/>
      <c r="P12" s="3"/>
      <c r="S12" s="3"/>
      <c r="T12" s="3"/>
      <c r="U12" s="3"/>
    </row>
    <row r="13">
      <c r="A13" s="3"/>
      <c r="B13" s="21"/>
      <c r="C13" s="26"/>
      <c r="D13" s="3"/>
      <c r="E13" s="15"/>
      <c r="F13" s="16"/>
      <c r="G13" s="23"/>
      <c r="H13" s="3"/>
      <c r="I13" s="33" t="s">
        <v>22</v>
      </c>
      <c r="J13" s="84">
        <v>400000.0</v>
      </c>
      <c r="K13" s="3"/>
      <c r="L13" s="87"/>
      <c r="M13" s="23"/>
      <c r="N13" s="3"/>
      <c r="O13" s="3"/>
      <c r="P13" s="3"/>
      <c r="S13" s="3"/>
      <c r="T13" s="3"/>
      <c r="U13" s="3"/>
    </row>
    <row r="14">
      <c r="A14" s="3"/>
      <c r="B14" s="35" t="s">
        <v>23</v>
      </c>
      <c r="C14" s="36">
        <f>SUM(C5:C13)</f>
        <v>640808</v>
      </c>
      <c r="D14" s="3"/>
      <c r="E14" s="15"/>
      <c r="F14" s="16"/>
      <c r="G14" s="23"/>
      <c r="H14" s="3"/>
      <c r="I14" s="37" t="s">
        <v>24</v>
      </c>
      <c r="J14" s="38">
        <f>J6-J13</f>
        <v>127224</v>
      </c>
      <c r="K14" s="3"/>
      <c r="L14" s="87"/>
      <c r="M14" s="23"/>
      <c r="N14" s="3"/>
      <c r="O14" s="3"/>
      <c r="P14" s="3"/>
      <c r="S14" s="3"/>
      <c r="T14" s="3"/>
      <c r="U14" s="3"/>
    </row>
    <row r="15">
      <c r="A15" s="3"/>
      <c r="B15" s="3"/>
      <c r="C15" s="3"/>
      <c r="D15" s="3"/>
      <c r="E15" s="15"/>
      <c r="F15" s="16"/>
      <c r="G15" s="23"/>
      <c r="H15" s="3"/>
      <c r="I15" s="39" t="s">
        <v>25</v>
      </c>
      <c r="J15" s="40">
        <f>IF(J12 &gt; 0, J14 / J12, 0)</f>
        <v>4712</v>
      </c>
      <c r="K15" s="3"/>
      <c r="L15" s="87"/>
      <c r="M15" s="23"/>
      <c r="N15" s="3"/>
      <c r="O15" s="3"/>
      <c r="P15" s="3"/>
      <c r="S15" s="3"/>
      <c r="T15" s="3"/>
      <c r="U15" s="3"/>
    </row>
    <row r="16">
      <c r="A16" s="3"/>
      <c r="B16" s="6" t="s">
        <v>26</v>
      </c>
      <c r="C16" s="3"/>
      <c r="D16" s="3"/>
      <c r="E16" s="15"/>
      <c r="F16" s="16"/>
      <c r="G16" s="23"/>
      <c r="H16" s="3"/>
      <c r="I16" s="3"/>
      <c r="J16" s="3"/>
      <c r="K16" s="3"/>
      <c r="L16" s="87"/>
      <c r="M16" s="23"/>
      <c r="N16" s="3"/>
      <c r="O16" s="3"/>
      <c r="P16" s="3"/>
      <c r="S16" s="3"/>
      <c r="T16" s="3"/>
      <c r="U16" s="3"/>
    </row>
    <row r="17">
      <c r="A17" s="3"/>
      <c r="B17" s="41" t="s">
        <v>3</v>
      </c>
      <c r="C17" s="41" t="s">
        <v>4</v>
      </c>
      <c r="D17" s="3"/>
      <c r="E17" s="15"/>
      <c r="F17" s="16"/>
      <c r="G17" s="23"/>
      <c r="H17" s="3"/>
      <c r="I17" s="42" t="s">
        <v>27</v>
      </c>
      <c r="J17" s="3"/>
      <c r="K17" s="3"/>
      <c r="L17" s="87"/>
      <c r="M17" s="23"/>
      <c r="N17" s="3"/>
      <c r="O17" s="3"/>
      <c r="P17" s="3"/>
      <c r="S17" s="3"/>
      <c r="T17" s="3"/>
      <c r="U17" s="3"/>
    </row>
    <row r="18">
      <c r="A18" s="3"/>
      <c r="B18" s="43" t="s">
        <v>29</v>
      </c>
      <c r="C18" s="52">
        <v>0.0</v>
      </c>
      <c r="D18" s="3"/>
      <c r="E18" s="15"/>
      <c r="F18" s="16"/>
      <c r="G18" s="23"/>
      <c r="H18" s="3"/>
      <c r="I18" s="11" t="s">
        <v>30</v>
      </c>
      <c r="J18" s="45">
        <f>SUMIF(E5:E127, TODAY(), G5:G127)</f>
        <v>4137</v>
      </c>
      <c r="K18" s="3"/>
      <c r="L18" s="88" t="s">
        <v>23</v>
      </c>
      <c r="M18" s="89">
        <f>SUM(M5:M17)</f>
        <v>28000</v>
      </c>
      <c r="N18" s="3"/>
      <c r="O18" s="3"/>
      <c r="P18" s="3"/>
      <c r="S18" s="3"/>
      <c r="T18" s="3"/>
      <c r="U18" s="3"/>
    </row>
    <row r="19">
      <c r="A19" s="3"/>
      <c r="B19" s="43" t="s">
        <v>31</v>
      </c>
      <c r="C19" s="52">
        <v>47480.0</v>
      </c>
      <c r="D19" s="3"/>
      <c r="E19" s="15"/>
      <c r="F19" s="16"/>
      <c r="G19" s="23"/>
      <c r="H19" s="3"/>
      <c r="I19" s="46" t="s">
        <v>32</v>
      </c>
      <c r="J19" s="47">
        <f>J15-J18</f>
        <v>575</v>
      </c>
      <c r="K19" s="3"/>
      <c r="L19" s="88" t="s">
        <v>48</v>
      </c>
      <c r="M19" s="89">
        <f>M18/(J10-J9)</f>
        <v>933.3333333</v>
      </c>
      <c r="N19" s="3"/>
      <c r="O19" s="3"/>
      <c r="P19" s="3"/>
      <c r="S19" s="3"/>
      <c r="T19" s="3"/>
      <c r="U19" s="3"/>
    </row>
    <row r="20">
      <c r="A20" s="3"/>
      <c r="B20" s="43" t="s">
        <v>33</v>
      </c>
      <c r="C20" s="52">
        <v>540.0</v>
      </c>
      <c r="D20" s="3"/>
      <c r="E20" s="15"/>
      <c r="F20" s="16"/>
      <c r="G20" s="23"/>
      <c r="H20" s="3"/>
      <c r="I20" s="3"/>
      <c r="J20" s="3"/>
      <c r="K20" s="3"/>
      <c r="L20" s="3"/>
      <c r="M20" s="3"/>
      <c r="N20" s="3"/>
      <c r="O20" s="3"/>
      <c r="P20" s="3"/>
      <c r="S20" s="3"/>
      <c r="T20" s="3"/>
      <c r="U20" s="3"/>
    </row>
    <row r="21">
      <c r="A21" s="3"/>
      <c r="B21" s="43" t="s">
        <v>34</v>
      </c>
      <c r="C21" s="44">
        <v>2700.0</v>
      </c>
      <c r="D21" s="3"/>
      <c r="E21" s="15"/>
      <c r="F21" s="16"/>
      <c r="G21" s="23"/>
      <c r="H21" s="3"/>
      <c r="I21" s="3"/>
      <c r="J21" s="3"/>
      <c r="K21" s="3"/>
      <c r="L21" s="3"/>
      <c r="M21" s="3"/>
      <c r="N21" s="3"/>
      <c r="O21" s="3"/>
      <c r="P21" s="3"/>
      <c r="S21" s="3"/>
      <c r="T21" s="3"/>
      <c r="U21" s="3"/>
    </row>
    <row r="22">
      <c r="A22" s="3"/>
      <c r="B22" s="48" t="s">
        <v>49</v>
      </c>
      <c r="C22" s="49">
        <v>760.0</v>
      </c>
      <c r="D22" s="3"/>
      <c r="E22" s="15"/>
      <c r="F22" s="16"/>
      <c r="G22" s="23"/>
      <c r="H22" s="3"/>
      <c r="I22" s="3"/>
      <c r="J22" s="3"/>
      <c r="K22" s="3"/>
      <c r="L22" s="3"/>
      <c r="M22" s="3"/>
      <c r="N22" s="3"/>
      <c r="O22" s="3"/>
      <c r="P22" s="3"/>
      <c r="Q22" s="4"/>
      <c r="R22" s="3"/>
      <c r="S22" s="3"/>
      <c r="T22" s="3"/>
      <c r="U22" s="3"/>
    </row>
    <row r="23">
      <c r="A23" s="3"/>
      <c r="B23" s="51" t="s">
        <v>37</v>
      </c>
      <c r="C23" s="52">
        <v>13127.0</v>
      </c>
      <c r="D23" s="3"/>
      <c r="E23" s="50"/>
      <c r="F23" s="16"/>
      <c r="G23" s="23"/>
      <c r="H23" s="3"/>
      <c r="I23" s="3"/>
      <c r="J23" s="3"/>
      <c r="K23" s="3"/>
      <c r="L23" s="3"/>
      <c r="M23" s="3"/>
      <c r="N23" s="3"/>
      <c r="O23" s="3"/>
      <c r="P23" s="3"/>
      <c r="Q23" s="4"/>
      <c r="R23" s="3"/>
      <c r="S23" s="3"/>
      <c r="T23" s="3"/>
      <c r="U23" s="3"/>
    </row>
    <row r="24">
      <c r="A24" s="3"/>
      <c r="B24" s="51" t="s">
        <v>38</v>
      </c>
      <c r="C24" s="52">
        <v>2680.0</v>
      </c>
      <c r="D24" s="3"/>
      <c r="E24" s="15"/>
      <c r="F24" s="16"/>
      <c r="G24" s="23"/>
      <c r="H24" s="3"/>
      <c r="I24" s="3"/>
      <c r="J24" s="3"/>
      <c r="K24" s="3"/>
      <c r="L24" s="3"/>
      <c r="M24" s="3"/>
      <c r="N24" s="3"/>
      <c r="O24" s="3"/>
      <c r="P24" s="3"/>
      <c r="Q24" s="4"/>
      <c r="R24" s="3"/>
      <c r="S24" s="3"/>
      <c r="T24" s="3"/>
      <c r="U24" s="3"/>
    </row>
    <row r="25">
      <c r="A25" s="3"/>
      <c r="B25" s="48" t="s">
        <v>39</v>
      </c>
      <c r="C25" s="54">
        <v>2000.0</v>
      </c>
      <c r="D25" s="3"/>
      <c r="E25" s="15"/>
      <c r="F25" s="16"/>
      <c r="G25" s="53"/>
      <c r="H25" s="3"/>
      <c r="I25" s="3"/>
      <c r="J25" s="3"/>
      <c r="K25" s="3"/>
      <c r="L25" s="3"/>
      <c r="M25" s="3"/>
      <c r="N25" s="3"/>
      <c r="O25" s="3"/>
      <c r="P25" s="3"/>
      <c r="Q25" s="4"/>
      <c r="R25" s="3"/>
      <c r="S25" s="3"/>
      <c r="T25" s="3"/>
      <c r="U25" s="3"/>
    </row>
    <row r="26">
      <c r="A26" s="3"/>
      <c r="B26" s="48" t="s">
        <v>50</v>
      </c>
      <c r="C26" s="90">
        <v>1290.0</v>
      </c>
      <c r="D26" s="3"/>
      <c r="E26" s="15"/>
      <c r="F26" s="16"/>
      <c r="G26" s="23"/>
      <c r="H26" s="3"/>
      <c r="I26" s="3"/>
      <c r="J26" s="3"/>
      <c r="K26" s="3"/>
      <c r="L26" s="3"/>
      <c r="M26" s="3"/>
      <c r="N26" s="3"/>
      <c r="O26" s="3"/>
      <c r="P26" s="3"/>
      <c r="Q26" s="4"/>
      <c r="R26" s="3"/>
      <c r="S26" s="3"/>
      <c r="T26" s="3"/>
      <c r="U26" s="3"/>
    </row>
    <row r="27">
      <c r="A27" s="3"/>
      <c r="B27" s="43"/>
      <c r="C27" s="57"/>
      <c r="D27" s="3"/>
      <c r="E27" s="15"/>
      <c r="F27" s="16"/>
      <c r="G27" s="23"/>
      <c r="H27" s="3"/>
      <c r="I27" s="3"/>
      <c r="J27" s="3"/>
      <c r="K27" s="3"/>
      <c r="L27" s="3"/>
      <c r="M27" s="3"/>
      <c r="N27" s="3"/>
      <c r="O27" s="3"/>
      <c r="P27" s="3"/>
      <c r="Q27" s="4"/>
      <c r="R27" s="3"/>
      <c r="S27" s="3"/>
      <c r="T27" s="3"/>
      <c r="U27" s="3"/>
    </row>
    <row r="28">
      <c r="A28" s="3"/>
      <c r="B28" s="43"/>
      <c r="C28" s="57"/>
      <c r="D28" s="3"/>
      <c r="E28" s="15"/>
      <c r="F28" s="16"/>
      <c r="G28" s="23"/>
      <c r="H28" s="3"/>
      <c r="I28" s="3"/>
      <c r="J28" s="3"/>
      <c r="K28" s="3"/>
      <c r="L28" s="3"/>
      <c r="M28" s="3"/>
      <c r="N28" s="3"/>
      <c r="O28" s="3"/>
      <c r="P28" s="3"/>
      <c r="Q28" s="4"/>
      <c r="R28" s="3"/>
      <c r="S28" s="3"/>
      <c r="T28" s="3"/>
      <c r="U28" s="3"/>
    </row>
    <row r="29">
      <c r="A29" s="3"/>
      <c r="B29" s="43"/>
      <c r="C29" s="57"/>
      <c r="D29" s="3"/>
      <c r="E29" s="15"/>
      <c r="F29" s="16"/>
      <c r="G29" s="23"/>
      <c r="H29" s="3"/>
      <c r="I29" s="3"/>
      <c r="J29" s="3"/>
      <c r="K29" s="3"/>
      <c r="L29" s="3"/>
      <c r="M29" s="3"/>
      <c r="N29" s="3"/>
      <c r="O29" s="3"/>
      <c r="P29" s="3"/>
      <c r="Q29" s="4"/>
      <c r="R29" s="3"/>
      <c r="S29" s="3"/>
      <c r="T29" s="3"/>
      <c r="U29" s="3"/>
    </row>
    <row r="30">
      <c r="A30" s="3"/>
      <c r="B30" s="43"/>
      <c r="C30" s="57"/>
      <c r="D30" s="3"/>
      <c r="E30" s="15"/>
      <c r="F30" s="16"/>
      <c r="G30" s="23"/>
      <c r="H30" s="3"/>
      <c r="I30" s="3"/>
      <c r="J30" s="3"/>
      <c r="K30" s="3"/>
      <c r="L30" s="3"/>
      <c r="M30" s="3"/>
      <c r="N30" s="3"/>
      <c r="O30" s="3"/>
      <c r="P30" s="3"/>
      <c r="Q30" s="4"/>
      <c r="R30" s="3"/>
      <c r="S30" s="3"/>
      <c r="T30" s="3"/>
      <c r="U30" s="3"/>
    </row>
    <row r="31">
      <c r="A31" s="3"/>
      <c r="B31" s="43"/>
      <c r="C31" s="57"/>
      <c r="D31" s="3"/>
      <c r="E31" s="15"/>
      <c r="F31" s="16"/>
      <c r="G31" s="23"/>
      <c r="H31" s="3"/>
      <c r="I31" s="3"/>
      <c r="J31" s="3"/>
      <c r="K31" s="3"/>
      <c r="L31" s="3"/>
      <c r="M31" s="3"/>
      <c r="N31" s="3"/>
      <c r="O31" s="3"/>
      <c r="P31" s="3"/>
      <c r="Q31" s="4"/>
      <c r="R31" s="3"/>
      <c r="S31" s="3"/>
      <c r="T31" s="3"/>
      <c r="U31" s="3"/>
    </row>
    <row r="32">
      <c r="A32" s="3"/>
      <c r="B32" s="43"/>
      <c r="C32" s="57"/>
      <c r="D32" s="3"/>
      <c r="E32" s="15"/>
      <c r="F32" s="16"/>
      <c r="G32" s="23"/>
      <c r="H32" s="3"/>
      <c r="I32" s="3"/>
      <c r="J32" s="3"/>
      <c r="K32" s="3"/>
      <c r="L32" s="3"/>
      <c r="M32" s="3"/>
      <c r="N32" s="3"/>
      <c r="O32" s="3"/>
      <c r="P32" s="3"/>
      <c r="Q32" s="4"/>
      <c r="R32" s="3"/>
      <c r="S32" s="3"/>
      <c r="T32" s="3"/>
      <c r="U32" s="3"/>
    </row>
    <row r="33">
      <c r="A33" s="3"/>
      <c r="B33" s="43"/>
      <c r="C33" s="57"/>
      <c r="D33" s="3"/>
      <c r="E33" s="15"/>
      <c r="F33" s="16"/>
      <c r="G33" s="23"/>
      <c r="H33" s="3"/>
      <c r="I33" s="3"/>
      <c r="J33" s="3"/>
      <c r="K33" s="3"/>
      <c r="L33" s="3"/>
      <c r="M33" s="3"/>
      <c r="N33" s="3"/>
      <c r="O33" s="3"/>
      <c r="P33" s="3"/>
      <c r="Q33" s="4"/>
      <c r="R33" s="3"/>
      <c r="S33" s="3"/>
      <c r="T33" s="3"/>
      <c r="U33" s="3"/>
    </row>
    <row r="34">
      <c r="A34" s="3"/>
      <c r="B34" s="43"/>
      <c r="C34" s="57"/>
      <c r="D34" s="3"/>
      <c r="E34" s="15"/>
      <c r="F34" s="16"/>
      <c r="G34" s="23"/>
      <c r="H34" s="3"/>
      <c r="I34" s="3"/>
      <c r="J34" s="3"/>
      <c r="K34" s="3"/>
      <c r="L34" s="3"/>
      <c r="M34" s="3"/>
      <c r="N34" s="3"/>
      <c r="O34" s="3"/>
      <c r="P34" s="3"/>
      <c r="Q34" s="4"/>
      <c r="R34" s="3"/>
      <c r="S34" s="3"/>
      <c r="T34" s="3"/>
      <c r="U34" s="3"/>
    </row>
    <row r="35">
      <c r="A35" s="3"/>
      <c r="B35" s="43"/>
      <c r="C35" s="57"/>
      <c r="D35" s="3"/>
      <c r="E35" s="15"/>
      <c r="F35" s="16"/>
      <c r="G35" s="23"/>
      <c r="H35" s="3"/>
      <c r="I35" s="3"/>
      <c r="J35" s="3"/>
      <c r="K35" s="3"/>
      <c r="L35" s="3"/>
      <c r="M35" s="3"/>
      <c r="N35" s="3"/>
      <c r="O35" s="3"/>
      <c r="P35" s="3"/>
      <c r="Q35" s="4"/>
      <c r="R35" s="3"/>
      <c r="S35" s="3"/>
      <c r="T35" s="3"/>
      <c r="U35" s="3"/>
    </row>
    <row r="36">
      <c r="A36" s="3"/>
      <c r="B36" s="91" t="s">
        <v>51</v>
      </c>
      <c r="C36" s="57"/>
      <c r="D36" s="3"/>
      <c r="E36" s="15"/>
      <c r="F36" s="16"/>
      <c r="G36" s="23"/>
      <c r="H36" s="3"/>
      <c r="I36" s="3"/>
      <c r="J36" s="3"/>
      <c r="K36" s="3"/>
      <c r="L36" s="3"/>
      <c r="M36" s="58"/>
      <c r="N36" s="58"/>
      <c r="O36" s="3"/>
      <c r="P36" s="3"/>
      <c r="Q36" s="4"/>
      <c r="R36" s="3"/>
      <c r="S36" s="3"/>
      <c r="T36" s="3"/>
      <c r="U36" s="3"/>
    </row>
    <row r="37">
      <c r="A37" s="3"/>
      <c r="B37" s="43"/>
      <c r="C37" s="57"/>
      <c r="D37" s="3"/>
      <c r="E37" s="15"/>
      <c r="F37" s="16"/>
      <c r="G37" s="23"/>
      <c r="H37" s="3"/>
      <c r="I37" s="3"/>
      <c r="J37" s="3"/>
      <c r="K37" s="3"/>
      <c r="L37" s="3"/>
      <c r="M37" s="3"/>
      <c r="N37" s="3"/>
      <c r="O37" s="3"/>
      <c r="P37" s="3"/>
      <c r="Q37" s="4"/>
      <c r="R37" s="3"/>
      <c r="S37" s="3"/>
      <c r="T37" s="3"/>
      <c r="U37" s="3"/>
    </row>
    <row r="38">
      <c r="A38" s="3"/>
      <c r="B38" s="43"/>
      <c r="C38" s="57"/>
      <c r="D38" s="3"/>
      <c r="E38" s="15"/>
      <c r="F38" s="16"/>
      <c r="G38" s="23"/>
      <c r="H38" s="3"/>
      <c r="I38" s="3"/>
      <c r="J38" s="3"/>
      <c r="K38" s="3"/>
      <c r="L38" s="3"/>
      <c r="M38" s="3"/>
      <c r="N38" s="3"/>
      <c r="O38" s="3"/>
      <c r="P38" s="3"/>
      <c r="Q38" s="4"/>
      <c r="R38" s="3"/>
      <c r="S38" s="3"/>
      <c r="T38" s="3"/>
      <c r="U38" s="3"/>
    </row>
    <row r="39">
      <c r="A39" s="3"/>
      <c r="B39" s="59" t="s">
        <v>23</v>
      </c>
      <c r="C39" s="60">
        <f>SUM(C18:C38)</f>
        <v>70577</v>
      </c>
      <c r="D39" s="3"/>
      <c r="E39" s="15"/>
      <c r="F39" s="16"/>
      <c r="G39" s="23"/>
      <c r="H39" s="3"/>
      <c r="I39" s="3"/>
      <c r="J39" s="3"/>
      <c r="K39" s="3"/>
      <c r="L39" s="3"/>
      <c r="M39" s="3"/>
      <c r="N39" s="3"/>
      <c r="O39" s="3"/>
      <c r="P39" s="3"/>
      <c r="Q39" s="4"/>
      <c r="R39" s="3"/>
      <c r="S39" s="3"/>
      <c r="T39" s="3"/>
      <c r="U39" s="3"/>
    </row>
    <row r="40">
      <c r="A40" s="3"/>
      <c r="B40" s="61"/>
      <c r="C40" s="61"/>
      <c r="D40" s="3"/>
      <c r="E40" s="15"/>
      <c r="F40" s="16"/>
      <c r="G40" s="23"/>
      <c r="H40" s="3"/>
      <c r="I40" s="3"/>
      <c r="J40" s="3"/>
      <c r="K40" s="3"/>
      <c r="L40" s="3"/>
      <c r="M40" s="3"/>
      <c r="N40" s="3"/>
      <c r="O40" s="3"/>
      <c r="P40" s="3"/>
      <c r="Q40" s="4"/>
      <c r="R40" s="3"/>
      <c r="S40" s="3"/>
      <c r="T40" s="3"/>
      <c r="U40" s="3"/>
    </row>
    <row r="41">
      <c r="A41" s="3"/>
      <c r="B41" s="62"/>
      <c r="C41" s="62"/>
      <c r="D41" s="3"/>
      <c r="E41" s="15"/>
      <c r="F41" s="16"/>
      <c r="G41" s="23"/>
      <c r="H41" s="3"/>
      <c r="I41" s="3"/>
      <c r="J41" s="3"/>
      <c r="K41" s="3"/>
      <c r="L41" s="3"/>
      <c r="M41" s="3"/>
      <c r="N41" s="3"/>
      <c r="O41" s="3"/>
      <c r="P41" s="3"/>
      <c r="Q41" s="4"/>
      <c r="R41" s="3"/>
      <c r="S41" s="3"/>
      <c r="T41" s="3"/>
      <c r="U41" s="3"/>
    </row>
    <row r="42">
      <c r="A42" s="3"/>
      <c r="B42" s="3"/>
      <c r="C42" s="3"/>
      <c r="D42" s="3"/>
      <c r="E42" s="15"/>
      <c r="F42" s="16"/>
      <c r="G42" s="23"/>
      <c r="H42" s="3"/>
      <c r="I42" s="3"/>
      <c r="J42" s="3"/>
      <c r="K42" s="3"/>
      <c r="L42" s="3"/>
      <c r="M42" s="3"/>
      <c r="N42" s="3"/>
      <c r="O42" s="3"/>
      <c r="P42" s="3"/>
      <c r="Q42" s="4"/>
      <c r="R42" s="3"/>
      <c r="S42" s="3"/>
      <c r="T42" s="3"/>
      <c r="U42" s="3"/>
    </row>
    <row r="43">
      <c r="A43" s="3"/>
      <c r="B43" s="3"/>
      <c r="C43" s="3"/>
      <c r="D43" s="3"/>
      <c r="E43" s="15"/>
      <c r="F43" s="16"/>
      <c r="G43" s="23"/>
      <c r="H43" s="3"/>
      <c r="I43" s="63" t="s">
        <v>42</v>
      </c>
      <c r="J43" s="3"/>
      <c r="K43" s="3"/>
      <c r="L43" s="3"/>
      <c r="M43" s="3"/>
      <c r="N43" s="3"/>
      <c r="O43" s="3"/>
      <c r="P43" s="3"/>
      <c r="Q43" s="4"/>
      <c r="R43" s="3"/>
      <c r="S43" s="3"/>
      <c r="T43" s="3"/>
      <c r="U43" s="3"/>
    </row>
    <row r="44">
      <c r="A44" s="3"/>
      <c r="B44" s="3"/>
      <c r="C44" s="3"/>
      <c r="D44" s="3"/>
      <c r="E44" s="15"/>
      <c r="F44" s="16"/>
      <c r="G44" s="23"/>
      <c r="H44" s="3"/>
      <c r="I44" s="9" t="s">
        <v>5</v>
      </c>
      <c r="J44" s="10" t="s">
        <v>43</v>
      </c>
      <c r="K44" s="64" t="s">
        <v>44</v>
      </c>
      <c r="L44" s="65" t="s">
        <v>45</v>
      </c>
      <c r="M44" s="66" t="s">
        <v>46</v>
      </c>
      <c r="N44" s="67" t="s">
        <v>20</v>
      </c>
      <c r="O44" s="3"/>
      <c r="P44" s="68"/>
      <c r="Q44" s="4"/>
      <c r="R44" s="3"/>
      <c r="S44" s="3"/>
      <c r="T44" s="3"/>
      <c r="U44" s="3"/>
    </row>
    <row r="45">
      <c r="A45" s="3"/>
      <c r="B45" s="3"/>
      <c r="C45" s="3"/>
      <c r="D45" s="3"/>
      <c r="E45" s="15"/>
      <c r="F45" s="16"/>
      <c r="G45" s="23"/>
      <c r="H45" s="3"/>
      <c r="I45" s="69">
        <f>EDATE(B1,-1) + 24 + 0</f>
        <v>46320</v>
      </c>
      <c r="J45" s="70">
        <f t="shared" ref="J45:J75" si="1">SUMIF(E5:E127,I45,G5:G127) + $M$19</f>
        <v>3403.333333</v>
      </c>
      <c r="K45" s="71">
        <f>J45</f>
        <v>3403.333333</v>
      </c>
      <c r="L45" s="72">
        <f>(J4-C39-J13)/(J10-J9+1)</f>
        <v>5491.322581</v>
      </c>
      <c r="M45" s="73" t="str">
        <f t="shared" ref="M45:M75" si="2">IF(I45=TODAY(), L45-K45, NA())</f>
        <v>#N/A</v>
      </c>
      <c r="N45" s="74" t="str">
        <f t="shared" ref="N45:N75" si="3">IF(I45=TODAY(), K45, NA())</f>
        <v>#N/A</v>
      </c>
      <c r="O45" s="3"/>
      <c r="P45" s="68"/>
      <c r="Q45" s="4"/>
      <c r="R45" s="3"/>
      <c r="S45" s="3"/>
      <c r="T45" s="3"/>
      <c r="U45" s="3"/>
    </row>
    <row r="46">
      <c r="A46" s="3"/>
      <c r="B46" s="3"/>
      <c r="C46" s="3"/>
      <c r="D46" s="3"/>
      <c r="E46" s="15"/>
      <c r="F46" s="16"/>
      <c r="G46" s="23"/>
      <c r="H46" s="3"/>
      <c r="I46" s="75">
        <f t="shared" ref="I46:I75" si="4">I45 + 1</f>
        <v>46321</v>
      </c>
      <c r="J46" s="70">
        <f t="shared" si="1"/>
        <v>933.3333333</v>
      </c>
      <c r="K46" s="76">
        <f t="shared" ref="K46:K75" si="5">SUM(K45,J46)</f>
        <v>4336.666667</v>
      </c>
      <c r="L46" s="72">
        <f>L45*2</f>
        <v>10982.64516</v>
      </c>
      <c r="M46" s="73" t="str">
        <f t="shared" si="2"/>
        <v>#N/A</v>
      </c>
      <c r="N46" s="74" t="str">
        <f t="shared" si="3"/>
        <v>#N/A</v>
      </c>
      <c r="O46" s="3"/>
      <c r="P46" s="68"/>
      <c r="Q46" s="4"/>
      <c r="R46" s="3"/>
      <c r="S46" s="3"/>
      <c r="T46" s="3"/>
      <c r="U46" s="3"/>
    </row>
    <row r="47">
      <c r="A47" s="3"/>
      <c r="B47" s="3"/>
      <c r="C47" s="3"/>
      <c r="D47" s="3"/>
      <c r="E47" s="15"/>
      <c r="F47" s="16"/>
      <c r="G47" s="23"/>
      <c r="H47" s="3"/>
      <c r="I47" s="75">
        <f t="shared" si="4"/>
        <v>46322</v>
      </c>
      <c r="J47" s="70">
        <f t="shared" si="1"/>
        <v>5433.333333</v>
      </c>
      <c r="K47" s="76">
        <f t="shared" si="5"/>
        <v>9770</v>
      </c>
      <c r="L47" s="72">
        <f>L45*3</f>
        <v>16473.96774</v>
      </c>
      <c r="M47" s="73" t="str">
        <f t="shared" si="2"/>
        <v>#N/A</v>
      </c>
      <c r="N47" s="77" t="str">
        <f t="shared" si="3"/>
        <v>#N/A</v>
      </c>
      <c r="O47" s="3"/>
      <c r="P47" s="68"/>
      <c r="Q47" s="4"/>
      <c r="R47" s="3"/>
      <c r="S47" s="3"/>
      <c r="T47" s="3"/>
      <c r="U47" s="3"/>
    </row>
    <row r="48">
      <c r="A48" s="3"/>
      <c r="B48" s="3"/>
      <c r="C48" s="3"/>
      <c r="D48" s="3"/>
      <c r="E48" s="15"/>
      <c r="F48" s="16"/>
      <c r="G48" s="23"/>
      <c r="H48" s="3"/>
      <c r="I48" s="75">
        <f t="shared" si="4"/>
        <v>46323</v>
      </c>
      <c r="J48" s="70">
        <f t="shared" si="1"/>
        <v>4833.333333</v>
      </c>
      <c r="K48" s="76">
        <f t="shared" si="5"/>
        <v>14603.33333</v>
      </c>
      <c r="L48" s="72">
        <f>L45*4</f>
        <v>21965.29032</v>
      </c>
      <c r="M48" s="73" t="str">
        <f t="shared" si="2"/>
        <v>#N/A</v>
      </c>
      <c r="N48" s="74" t="str">
        <f t="shared" si="3"/>
        <v>#N/A</v>
      </c>
      <c r="O48" s="3"/>
      <c r="P48" s="68"/>
      <c r="Q48" s="4"/>
      <c r="R48" s="3"/>
      <c r="S48" s="3"/>
      <c r="T48" s="3"/>
      <c r="U48" s="3"/>
    </row>
    <row r="49">
      <c r="A49" s="3"/>
      <c r="B49" s="3"/>
      <c r="C49" s="3"/>
      <c r="D49" s="3"/>
      <c r="E49" s="15"/>
      <c r="F49" s="16"/>
      <c r="G49" s="23"/>
      <c r="H49" s="3"/>
      <c r="I49" s="75">
        <f t="shared" si="4"/>
        <v>46324</v>
      </c>
      <c r="J49" s="70">
        <f t="shared" si="1"/>
        <v>5070.333333</v>
      </c>
      <c r="K49" s="76">
        <f t="shared" si="5"/>
        <v>19673.66667</v>
      </c>
      <c r="L49" s="72">
        <f>L45*5</f>
        <v>27456.6129</v>
      </c>
      <c r="M49" s="92">
        <f t="shared" si="2"/>
        <v>7782.946237</v>
      </c>
      <c r="N49" s="77">
        <f t="shared" si="3"/>
        <v>19673.66667</v>
      </c>
      <c r="O49" s="3"/>
      <c r="P49" s="68"/>
      <c r="Q49" s="4"/>
      <c r="R49" s="3"/>
      <c r="S49" s="3"/>
      <c r="T49" s="3"/>
      <c r="U49" s="3"/>
    </row>
    <row r="50">
      <c r="A50" s="3"/>
      <c r="B50" s="3"/>
      <c r="C50" s="3"/>
      <c r="D50" s="3"/>
      <c r="E50" s="15"/>
      <c r="F50" s="16"/>
      <c r="G50" s="23"/>
      <c r="H50" s="3"/>
      <c r="I50" s="75">
        <f t="shared" si="4"/>
        <v>46325</v>
      </c>
      <c r="J50" s="70">
        <f t="shared" si="1"/>
        <v>933.3333333</v>
      </c>
      <c r="K50" s="76">
        <f t="shared" si="5"/>
        <v>20607</v>
      </c>
      <c r="L50" s="72">
        <f>L45*6</f>
        <v>32947.93548</v>
      </c>
      <c r="M50" s="73" t="str">
        <f t="shared" si="2"/>
        <v>#N/A</v>
      </c>
      <c r="N50" s="74" t="str">
        <f t="shared" si="3"/>
        <v>#N/A</v>
      </c>
      <c r="O50" s="3"/>
      <c r="P50" s="68"/>
      <c r="Q50" s="4"/>
      <c r="R50" s="3"/>
      <c r="S50" s="3"/>
      <c r="T50" s="3"/>
      <c r="U50" s="3"/>
    </row>
    <row r="51">
      <c r="A51" s="3"/>
      <c r="B51" s="3"/>
      <c r="C51" s="3"/>
      <c r="D51" s="3"/>
      <c r="E51" s="15"/>
      <c r="F51" s="16"/>
      <c r="G51" s="23"/>
      <c r="H51" s="3"/>
      <c r="I51" s="75">
        <f t="shared" si="4"/>
        <v>46326</v>
      </c>
      <c r="J51" s="70">
        <f t="shared" si="1"/>
        <v>933.3333333</v>
      </c>
      <c r="K51" s="76">
        <f t="shared" si="5"/>
        <v>21540.33333</v>
      </c>
      <c r="L51" s="72">
        <f>L45*7</f>
        <v>38439.25806</v>
      </c>
      <c r="M51" s="73" t="str">
        <f t="shared" si="2"/>
        <v>#N/A</v>
      </c>
      <c r="N51" s="74" t="str">
        <f t="shared" si="3"/>
        <v>#N/A</v>
      </c>
      <c r="O51" s="3"/>
      <c r="P51" s="68"/>
      <c r="Q51" s="4"/>
      <c r="R51" s="3"/>
      <c r="S51" s="3"/>
      <c r="T51" s="3"/>
      <c r="U51" s="3"/>
    </row>
    <row r="52">
      <c r="A52" s="3"/>
      <c r="B52" s="3"/>
      <c r="C52" s="3"/>
      <c r="D52" s="3"/>
      <c r="E52" s="15"/>
      <c r="F52" s="16"/>
      <c r="G52" s="23"/>
      <c r="H52" s="3"/>
      <c r="I52" s="75">
        <f t="shared" si="4"/>
        <v>46327</v>
      </c>
      <c r="J52" s="70">
        <f t="shared" si="1"/>
        <v>933.3333333</v>
      </c>
      <c r="K52" s="76">
        <f t="shared" si="5"/>
        <v>22473.66667</v>
      </c>
      <c r="L52" s="72">
        <f>L45*8</f>
        <v>43930.58065</v>
      </c>
      <c r="M52" s="73" t="str">
        <f t="shared" si="2"/>
        <v>#N/A</v>
      </c>
      <c r="N52" s="74" t="str">
        <f t="shared" si="3"/>
        <v>#N/A</v>
      </c>
      <c r="O52" s="3"/>
      <c r="P52" s="68"/>
      <c r="Q52" s="4"/>
      <c r="R52" s="3"/>
      <c r="S52" s="3"/>
      <c r="T52" s="3"/>
      <c r="U52" s="3"/>
    </row>
    <row r="53">
      <c r="A53" s="3"/>
      <c r="B53" s="3"/>
      <c r="C53" s="3"/>
      <c r="D53" s="3"/>
      <c r="E53" s="15"/>
      <c r="F53" s="16"/>
      <c r="G53" s="23"/>
      <c r="H53" s="3"/>
      <c r="I53" s="75">
        <f t="shared" si="4"/>
        <v>46328</v>
      </c>
      <c r="J53" s="70">
        <f t="shared" si="1"/>
        <v>933.3333333</v>
      </c>
      <c r="K53" s="76">
        <f t="shared" si="5"/>
        <v>23407</v>
      </c>
      <c r="L53" s="72">
        <f>L45*9</f>
        <v>49421.90323</v>
      </c>
      <c r="M53" s="73" t="str">
        <f t="shared" si="2"/>
        <v>#N/A</v>
      </c>
      <c r="N53" s="74" t="str">
        <f t="shared" si="3"/>
        <v>#N/A</v>
      </c>
      <c r="O53" s="3"/>
      <c r="P53" s="68"/>
      <c r="Q53" s="4"/>
      <c r="R53" s="3"/>
      <c r="S53" s="3"/>
      <c r="T53" s="3"/>
      <c r="U53" s="3"/>
    </row>
    <row r="54">
      <c r="A54" s="3"/>
      <c r="B54" s="3"/>
      <c r="C54" s="3"/>
      <c r="D54" s="3"/>
      <c r="E54" s="15"/>
      <c r="F54" s="16"/>
      <c r="G54" s="23"/>
      <c r="H54" s="3"/>
      <c r="I54" s="75">
        <f t="shared" si="4"/>
        <v>46329</v>
      </c>
      <c r="J54" s="70">
        <f t="shared" si="1"/>
        <v>933.3333333</v>
      </c>
      <c r="K54" s="76">
        <f t="shared" si="5"/>
        <v>24340.33333</v>
      </c>
      <c r="L54" s="72">
        <f>L45*10</f>
        <v>54913.22581</v>
      </c>
      <c r="M54" s="73" t="str">
        <f t="shared" si="2"/>
        <v>#N/A</v>
      </c>
      <c r="N54" s="74" t="str">
        <f t="shared" si="3"/>
        <v>#N/A</v>
      </c>
      <c r="O54" s="3"/>
      <c r="P54" s="68"/>
      <c r="Q54" s="4"/>
      <c r="R54" s="3"/>
      <c r="S54" s="3"/>
      <c r="T54" s="3"/>
      <c r="U54" s="3"/>
    </row>
    <row r="55">
      <c r="A55" s="3"/>
      <c r="B55" s="3"/>
      <c r="C55" s="3"/>
      <c r="D55" s="3"/>
      <c r="E55" s="15"/>
      <c r="F55" s="16"/>
      <c r="G55" s="23"/>
      <c r="H55" s="3"/>
      <c r="I55" s="75">
        <f t="shared" si="4"/>
        <v>46330</v>
      </c>
      <c r="J55" s="70">
        <f t="shared" si="1"/>
        <v>933.3333333</v>
      </c>
      <c r="K55" s="76">
        <f t="shared" si="5"/>
        <v>25273.66667</v>
      </c>
      <c r="L55" s="72">
        <f>L45*11</f>
        <v>60404.54839</v>
      </c>
      <c r="M55" s="73" t="str">
        <f t="shared" si="2"/>
        <v>#N/A</v>
      </c>
      <c r="N55" s="74" t="str">
        <f t="shared" si="3"/>
        <v>#N/A</v>
      </c>
      <c r="O55" s="3"/>
      <c r="P55" s="3"/>
      <c r="Q55" s="4"/>
      <c r="R55" s="3"/>
      <c r="S55" s="3"/>
      <c r="T55" s="3"/>
      <c r="U55" s="3"/>
    </row>
    <row r="56">
      <c r="A56" s="3"/>
      <c r="B56" s="3"/>
      <c r="C56" s="3"/>
      <c r="D56" s="3"/>
      <c r="E56" s="15"/>
      <c r="F56" s="16"/>
      <c r="G56" s="23"/>
      <c r="H56" s="3"/>
      <c r="I56" s="75">
        <f t="shared" si="4"/>
        <v>46331</v>
      </c>
      <c r="J56" s="70">
        <f t="shared" si="1"/>
        <v>933.3333333</v>
      </c>
      <c r="K56" s="76">
        <f t="shared" si="5"/>
        <v>26207</v>
      </c>
      <c r="L56" s="72">
        <f>L45*12</f>
        <v>65895.87097</v>
      </c>
      <c r="M56" s="73" t="str">
        <f t="shared" si="2"/>
        <v>#N/A</v>
      </c>
      <c r="N56" s="74" t="str">
        <f t="shared" si="3"/>
        <v>#N/A</v>
      </c>
      <c r="O56" s="3"/>
      <c r="P56" s="3"/>
      <c r="Q56" s="4"/>
      <c r="R56" s="3"/>
      <c r="S56" s="3"/>
      <c r="T56" s="3"/>
      <c r="U56" s="3"/>
    </row>
    <row r="57">
      <c r="A57" s="3"/>
      <c r="B57" s="3"/>
      <c r="C57" s="3"/>
      <c r="D57" s="3"/>
      <c r="E57" s="15"/>
      <c r="F57" s="16"/>
      <c r="G57" s="23"/>
      <c r="H57" s="3"/>
      <c r="I57" s="75">
        <f t="shared" si="4"/>
        <v>46332</v>
      </c>
      <c r="J57" s="70">
        <f t="shared" si="1"/>
        <v>933.3333333</v>
      </c>
      <c r="K57" s="76">
        <f t="shared" si="5"/>
        <v>27140.33333</v>
      </c>
      <c r="L57" s="72">
        <f>L45*13</f>
        <v>71387.19355</v>
      </c>
      <c r="M57" s="73" t="str">
        <f t="shared" si="2"/>
        <v>#N/A</v>
      </c>
      <c r="N57" s="74" t="str">
        <f t="shared" si="3"/>
        <v>#N/A</v>
      </c>
      <c r="O57" s="3"/>
      <c r="P57" s="3"/>
      <c r="Q57" s="4"/>
      <c r="R57" s="3"/>
      <c r="S57" s="3"/>
      <c r="T57" s="3"/>
      <c r="U57" s="3"/>
    </row>
    <row r="58">
      <c r="A58" s="3"/>
      <c r="B58" s="3"/>
      <c r="C58" s="3"/>
      <c r="D58" s="3"/>
      <c r="E58" s="15"/>
      <c r="F58" s="16"/>
      <c r="G58" s="23"/>
      <c r="H58" s="3"/>
      <c r="I58" s="75">
        <f t="shared" si="4"/>
        <v>46333</v>
      </c>
      <c r="J58" s="70">
        <f t="shared" si="1"/>
        <v>933.3333333</v>
      </c>
      <c r="K58" s="76">
        <f t="shared" si="5"/>
        <v>28073.66667</v>
      </c>
      <c r="L58" s="72">
        <f>L45*14</f>
        <v>76878.51613</v>
      </c>
      <c r="M58" s="73" t="str">
        <f t="shared" si="2"/>
        <v>#N/A</v>
      </c>
      <c r="N58" s="74" t="str">
        <f t="shared" si="3"/>
        <v>#N/A</v>
      </c>
      <c r="O58" s="3"/>
      <c r="P58" s="3"/>
      <c r="Q58" s="4"/>
      <c r="R58" s="3"/>
      <c r="S58" s="3"/>
      <c r="T58" s="3"/>
      <c r="U58" s="3"/>
    </row>
    <row r="59">
      <c r="A59" s="3"/>
      <c r="B59" s="3"/>
      <c r="C59" s="3"/>
      <c r="D59" s="3"/>
      <c r="E59" s="15"/>
      <c r="F59" s="16"/>
      <c r="G59" s="23"/>
      <c r="H59" s="3"/>
      <c r="I59" s="75">
        <f t="shared" si="4"/>
        <v>46334</v>
      </c>
      <c r="J59" s="70">
        <f t="shared" si="1"/>
        <v>933.3333333</v>
      </c>
      <c r="K59" s="76">
        <f t="shared" si="5"/>
        <v>29007</v>
      </c>
      <c r="L59" s="72">
        <f>L45*15</f>
        <v>82369.83871</v>
      </c>
      <c r="M59" s="73" t="str">
        <f t="shared" si="2"/>
        <v>#N/A</v>
      </c>
      <c r="N59" s="74" t="str">
        <f t="shared" si="3"/>
        <v>#N/A</v>
      </c>
      <c r="O59" s="3"/>
      <c r="P59" s="3"/>
      <c r="Q59" s="4"/>
      <c r="R59" s="3"/>
      <c r="S59" s="3"/>
      <c r="T59" s="3"/>
      <c r="U59" s="3"/>
    </row>
    <row r="60">
      <c r="A60" s="3"/>
      <c r="B60" s="3"/>
      <c r="C60" s="3"/>
      <c r="D60" s="3"/>
      <c r="E60" s="15"/>
      <c r="F60" s="16"/>
      <c r="G60" s="23"/>
      <c r="H60" s="3"/>
      <c r="I60" s="75">
        <f t="shared" si="4"/>
        <v>46335</v>
      </c>
      <c r="J60" s="70">
        <f t="shared" si="1"/>
        <v>933.3333333</v>
      </c>
      <c r="K60" s="76">
        <f t="shared" si="5"/>
        <v>29940.33333</v>
      </c>
      <c r="L60" s="72">
        <f>L45*16</f>
        <v>87861.16129</v>
      </c>
      <c r="M60" s="73" t="str">
        <f t="shared" si="2"/>
        <v>#N/A</v>
      </c>
      <c r="N60" s="74" t="str">
        <f t="shared" si="3"/>
        <v>#N/A</v>
      </c>
      <c r="O60" s="3"/>
      <c r="P60" s="3"/>
      <c r="Q60" s="4"/>
      <c r="R60" s="3"/>
      <c r="S60" s="3"/>
      <c r="T60" s="3"/>
      <c r="U60" s="3"/>
    </row>
    <row r="61">
      <c r="A61" s="3"/>
      <c r="B61" s="3"/>
      <c r="C61" s="3"/>
      <c r="D61" s="3"/>
      <c r="E61" s="15"/>
      <c r="F61" s="16"/>
      <c r="G61" s="23"/>
      <c r="H61" s="3"/>
      <c r="I61" s="75">
        <f t="shared" si="4"/>
        <v>46336</v>
      </c>
      <c r="J61" s="70">
        <f t="shared" si="1"/>
        <v>933.3333333</v>
      </c>
      <c r="K61" s="76">
        <f t="shared" si="5"/>
        <v>30873.66667</v>
      </c>
      <c r="L61" s="72">
        <f>L45*17</f>
        <v>93352.48387</v>
      </c>
      <c r="M61" s="73" t="str">
        <f t="shared" si="2"/>
        <v>#N/A</v>
      </c>
      <c r="N61" s="74" t="str">
        <f t="shared" si="3"/>
        <v>#N/A</v>
      </c>
      <c r="O61" s="3"/>
      <c r="P61" s="3"/>
      <c r="Q61" s="4"/>
      <c r="R61" s="3"/>
      <c r="S61" s="3"/>
      <c r="T61" s="3"/>
      <c r="U61" s="3"/>
    </row>
    <row r="62">
      <c r="A62" s="3"/>
      <c r="B62" s="3"/>
      <c r="C62" s="3"/>
      <c r="D62" s="3"/>
      <c r="E62" s="15"/>
      <c r="F62" s="16"/>
      <c r="G62" s="23"/>
      <c r="H62" s="3"/>
      <c r="I62" s="75">
        <f t="shared" si="4"/>
        <v>46337</v>
      </c>
      <c r="J62" s="70">
        <f t="shared" si="1"/>
        <v>933.3333333</v>
      </c>
      <c r="K62" s="76">
        <f t="shared" si="5"/>
        <v>31807</v>
      </c>
      <c r="L62" s="72">
        <f>L45*18</f>
        <v>98843.80645</v>
      </c>
      <c r="M62" s="73" t="str">
        <f t="shared" si="2"/>
        <v>#N/A</v>
      </c>
      <c r="N62" s="74" t="str">
        <f t="shared" si="3"/>
        <v>#N/A</v>
      </c>
      <c r="O62" s="3"/>
      <c r="P62" s="3"/>
      <c r="Q62" s="4"/>
      <c r="R62" s="3"/>
      <c r="S62" s="3"/>
      <c r="T62" s="3"/>
      <c r="U62" s="3"/>
    </row>
    <row r="63">
      <c r="A63" s="3"/>
      <c r="B63" s="3"/>
      <c r="C63" s="3"/>
      <c r="D63" s="3"/>
      <c r="E63" s="15"/>
      <c r="F63" s="16"/>
      <c r="G63" s="23"/>
      <c r="H63" s="3"/>
      <c r="I63" s="75">
        <f t="shared" si="4"/>
        <v>46338</v>
      </c>
      <c r="J63" s="70">
        <f t="shared" si="1"/>
        <v>933.3333333</v>
      </c>
      <c r="K63" s="76">
        <f t="shared" si="5"/>
        <v>32740.33333</v>
      </c>
      <c r="L63" s="72">
        <f>L45*19</f>
        <v>104335.129</v>
      </c>
      <c r="M63" s="73" t="str">
        <f t="shared" si="2"/>
        <v>#N/A</v>
      </c>
      <c r="N63" s="74" t="str">
        <f t="shared" si="3"/>
        <v>#N/A</v>
      </c>
      <c r="O63" s="3"/>
      <c r="P63" s="3"/>
      <c r="Q63" s="4"/>
      <c r="R63" s="3"/>
      <c r="S63" s="3"/>
      <c r="T63" s="3"/>
      <c r="U63" s="3"/>
    </row>
    <row r="64">
      <c r="A64" s="3"/>
      <c r="B64" s="3"/>
      <c r="C64" s="3"/>
      <c r="D64" s="3"/>
      <c r="E64" s="15"/>
      <c r="F64" s="16"/>
      <c r="G64" s="23"/>
      <c r="H64" s="3"/>
      <c r="I64" s="75">
        <f t="shared" si="4"/>
        <v>46339</v>
      </c>
      <c r="J64" s="70">
        <f t="shared" si="1"/>
        <v>933.3333333</v>
      </c>
      <c r="K64" s="76">
        <f t="shared" si="5"/>
        <v>33673.66667</v>
      </c>
      <c r="L64" s="72">
        <f>L45*20</f>
        <v>109826.4516</v>
      </c>
      <c r="M64" s="73" t="str">
        <f t="shared" si="2"/>
        <v>#N/A</v>
      </c>
      <c r="N64" s="74" t="str">
        <f t="shared" si="3"/>
        <v>#N/A</v>
      </c>
      <c r="O64" s="3"/>
      <c r="P64" s="3"/>
      <c r="Q64" s="4"/>
      <c r="R64" s="3"/>
      <c r="S64" s="3"/>
      <c r="T64" s="3"/>
      <c r="U64" s="3"/>
    </row>
    <row r="65">
      <c r="A65" s="3"/>
      <c r="B65" s="3"/>
      <c r="C65" s="3"/>
      <c r="D65" s="3"/>
      <c r="E65" s="15"/>
      <c r="F65" s="16"/>
      <c r="G65" s="23"/>
      <c r="H65" s="3"/>
      <c r="I65" s="75">
        <f t="shared" si="4"/>
        <v>46340</v>
      </c>
      <c r="J65" s="70">
        <f t="shared" si="1"/>
        <v>933.3333333</v>
      </c>
      <c r="K65" s="76">
        <f t="shared" si="5"/>
        <v>34607</v>
      </c>
      <c r="L65" s="72">
        <f>L45*21</f>
        <v>115317.7742</v>
      </c>
      <c r="M65" s="73" t="str">
        <f t="shared" si="2"/>
        <v>#N/A</v>
      </c>
      <c r="N65" s="74" t="str">
        <f t="shared" si="3"/>
        <v>#N/A</v>
      </c>
      <c r="O65" s="3"/>
      <c r="P65" s="3"/>
      <c r="Q65" s="4"/>
      <c r="R65" s="3"/>
      <c r="S65" s="3"/>
      <c r="T65" s="3"/>
      <c r="U65" s="3"/>
    </row>
    <row r="66">
      <c r="A66" s="3"/>
      <c r="B66" s="3"/>
      <c r="C66" s="3"/>
      <c r="D66" s="3"/>
      <c r="E66" s="15"/>
      <c r="F66" s="16"/>
      <c r="G66" s="23"/>
      <c r="H66" s="3"/>
      <c r="I66" s="75">
        <f t="shared" si="4"/>
        <v>46341</v>
      </c>
      <c r="J66" s="70">
        <f t="shared" si="1"/>
        <v>933.3333333</v>
      </c>
      <c r="K66" s="76">
        <f t="shared" si="5"/>
        <v>35540.33333</v>
      </c>
      <c r="L66" s="72">
        <f>L45*22</f>
        <v>120809.0968</v>
      </c>
      <c r="M66" s="73" t="str">
        <f t="shared" si="2"/>
        <v>#N/A</v>
      </c>
      <c r="N66" s="74" t="str">
        <f t="shared" si="3"/>
        <v>#N/A</v>
      </c>
      <c r="O66" s="3"/>
      <c r="P66" s="3"/>
      <c r="Q66" s="4"/>
      <c r="R66" s="3"/>
      <c r="S66" s="3"/>
      <c r="T66" s="3"/>
      <c r="U66" s="3"/>
    </row>
    <row r="67">
      <c r="A67" s="3"/>
      <c r="B67" s="3"/>
      <c r="C67" s="3"/>
      <c r="D67" s="3"/>
      <c r="E67" s="15"/>
      <c r="F67" s="16"/>
      <c r="G67" s="23"/>
      <c r="H67" s="3"/>
      <c r="I67" s="75">
        <f t="shared" si="4"/>
        <v>46342</v>
      </c>
      <c r="J67" s="70">
        <f t="shared" si="1"/>
        <v>933.3333333</v>
      </c>
      <c r="K67" s="76">
        <f t="shared" si="5"/>
        <v>36473.66667</v>
      </c>
      <c r="L67" s="72">
        <f>L45*23</f>
        <v>126300.4194</v>
      </c>
      <c r="M67" s="73" t="str">
        <f t="shared" si="2"/>
        <v>#N/A</v>
      </c>
      <c r="N67" s="74" t="str">
        <f t="shared" si="3"/>
        <v>#N/A</v>
      </c>
      <c r="O67" s="3"/>
      <c r="P67" s="3"/>
      <c r="Q67" s="4"/>
      <c r="R67" s="3"/>
      <c r="S67" s="3"/>
      <c r="T67" s="3"/>
      <c r="U67" s="3"/>
    </row>
    <row r="68">
      <c r="A68" s="3"/>
      <c r="B68" s="3"/>
      <c r="C68" s="3"/>
      <c r="D68" s="3"/>
      <c r="E68" s="15"/>
      <c r="F68" s="16"/>
      <c r="G68" s="23"/>
      <c r="H68" s="3"/>
      <c r="I68" s="75">
        <f t="shared" si="4"/>
        <v>46343</v>
      </c>
      <c r="J68" s="70">
        <f t="shared" si="1"/>
        <v>933.3333333</v>
      </c>
      <c r="K68" s="76">
        <f t="shared" si="5"/>
        <v>37407</v>
      </c>
      <c r="L68" s="72">
        <f>L45*24</f>
        <v>131791.7419</v>
      </c>
      <c r="M68" s="73" t="str">
        <f t="shared" si="2"/>
        <v>#N/A</v>
      </c>
      <c r="N68" s="74" t="str">
        <f t="shared" si="3"/>
        <v>#N/A</v>
      </c>
      <c r="O68" s="3"/>
      <c r="P68" s="3"/>
      <c r="Q68" s="4"/>
      <c r="R68" s="3"/>
      <c r="S68" s="3"/>
      <c r="T68" s="3"/>
      <c r="U68" s="3"/>
    </row>
    <row r="69">
      <c r="A69" s="3"/>
      <c r="B69" s="3"/>
      <c r="C69" s="3"/>
      <c r="D69" s="3"/>
      <c r="E69" s="15"/>
      <c r="F69" s="16"/>
      <c r="G69" s="23"/>
      <c r="H69" s="3"/>
      <c r="I69" s="75">
        <f t="shared" si="4"/>
        <v>46344</v>
      </c>
      <c r="J69" s="70">
        <f t="shared" si="1"/>
        <v>933.3333333</v>
      </c>
      <c r="K69" s="76">
        <f t="shared" si="5"/>
        <v>38340.33333</v>
      </c>
      <c r="L69" s="72">
        <f>L45*25</f>
        <v>137283.0645</v>
      </c>
      <c r="M69" s="73" t="str">
        <f t="shared" si="2"/>
        <v>#N/A</v>
      </c>
      <c r="N69" s="74" t="str">
        <f t="shared" si="3"/>
        <v>#N/A</v>
      </c>
      <c r="O69" s="3"/>
      <c r="P69" s="3"/>
      <c r="Q69" s="4"/>
      <c r="R69" s="3"/>
      <c r="S69" s="3"/>
      <c r="T69" s="3"/>
      <c r="U69" s="3"/>
    </row>
    <row r="70">
      <c r="A70" s="3"/>
      <c r="B70" s="3"/>
      <c r="C70" s="3"/>
      <c r="D70" s="3"/>
      <c r="E70" s="15"/>
      <c r="F70" s="16"/>
      <c r="G70" s="23"/>
      <c r="H70" s="3"/>
      <c r="I70" s="75">
        <f t="shared" si="4"/>
        <v>46345</v>
      </c>
      <c r="J70" s="70">
        <f t="shared" si="1"/>
        <v>933.3333333</v>
      </c>
      <c r="K70" s="76">
        <f t="shared" si="5"/>
        <v>39273.66667</v>
      </c>
      <c r="L70" s="72">
        <f>L45*26</f>
        <v>142774.3871</v>
      </c>
      <c r="M70" s="73" t="str">
        <f t="shared" si="2"/>
        <v>#N/A</v>
      </c>
      <c r="N70" s="74" t="str">
        <f t="shared" si="3"/>
        <v>#N/A</v>
      </c>
      <c r="O70" s="3"/>
      <c r="P70" s="3"/>
      <c r="Q70" s="4"/>
      <c r="R70" s="3"/>
      <c r="S70" s="3"/>
      <c r="T70" s="3"/>
      <c r="U70" s="3"/>
    </row>
    <row r="71">
      <c r="A71" s="3"/>
      <c r="B71" s="3"/>
      <c r="C71" s="3"/>
      <c r="D71" s="3"/>
      <c r="E71" s="15"/>
      <c r="F71" s="16"/>
      <c r="G71" s="23"/>
      <c r="H71" s="3"/>
      <c r="I71" s="75">
        <f t="shared" si="4"/>
        <v>46346</v>
      </c>
      <c r="J71" s="70">
        <f t="shared" si="1"/>
        <v>933.3333333</v>
      </c>
      <c r="K71" s="76">
        <f t="shared" si="5"/>
        <v>40207</v>
      </c>
      <c r="L71" s="72">
        <f>L45*27</f>
        <v>148265.7097</v>
      </c>
      <c r="M71" s="73" t="str">
        <f t="shared" si="2"/>
        <v>#N/A</v>
      </c>
      <c r="N71" s="74" t="str">
        <f t="shared" si="3"/>
        <v>#N/A</v>
      </c>
      <c r="O71" s="3"/>
      <c r="P71" s="3"/>
      <c r="Q71" s="4"/>
      <c r="R71" s="3"/>
      <c r="S71" s="3"/>
      <c r="T71" s="3"/>
      <c r="U71" s="3"/>
    </row>
    <row r="72">
      <c r="A72" s="3"/>
      <c r="B72" s="3"/>
      <c r="C72" s="3"/>
      <c r="D72" s="3"/>
      <c r="E72" s="15"/>
      <c r="F72" s="16"/>
      <c r="G72" s="23"/>
      <c r="H72" s="3"/>
      <c r="I72" s="75">
        <f t="shared" si="4"/>
        <v>46347</v>
      </c>
      <c r="J72" s="70">
        <f t="shared" si="1"/>
        <v>933.3333333</v>
      </c>
      <c r="K72" s="76">
        <f t="shared" si="5"/>
        <v>41140.33333</v>
      </c>
      <c r="L72" s="72">
        <f>L45*28</f>
        <v>153757.0323</v>
      </c>
      <c r="M72" s="73" t="str">
        <f t="shared" si="2"/>
        <v>#N/A</v>
      </c>
      <c r="N72" s="74" t="str">
        <f t="shared" si="3"/>
        <v>#N/A</v>
      </c>
      <c r="O72" s="3"/>
      <c r="P72" s="3"/>
      <c r="Q72" s="4"/>
      <c r="R72" s="3"/>
      <c r="S72" s="3"/>
      <c r="T72" s="3"/>
      <c r="U72" s="3"/>
    </row>
    <row r="73">
      <c r="A73" s="3"/>
      <c r="B73" s="3"/>
      <c r="C73" s="3"/>
      <c r="D73" s="3"/>
      <c r="E73" s="15"/>
      <c r="F73" s="16"/>
      <c r="G73" s="23"/>
      <c r="H73" s="3"/>
      <c r="I73" s="75">
        <f t="shared" si="4"/>
        <v>46348</v>
      </c>
      <c r="J73" s="70">
        <f t="shared" si="1"/>
        <v>933.3333333</v>
      </c>
      <c r="K73" s="76">
        <f t="shared" si="5"/>
        <v>42073.66667</v>
      </c>
      <c r="L73" s="72">
        <f>L45*29</f>
        <v>159248.3548</v>
      </c>
      <c r="M73" s="73" t="str">
        <f t="shared" si="2"/>
        <v>#N/A</v>
      </c>
      <c r="N73" s="74" t="str">
        <f t="shared" si="3"/>
        <v>#N/A</v>
      </c>
      <c r="O73" s="3"/>
      <c r="P73" s="3"/>
      <c r="Q73" s="4"/>
      <c r="R73" s="3"/>
      <c r="S73" s="3"/>
      <c r="T73" s="3"/>
      <c r="U73" s="3"/>
    </row>
    <row r="74">
      <c r="A74" s="3"/>
      <c r="B74" s="3"/>
      <c r="C74" s="3"/>
      <c r="D74" s="3"/>
      <c r="E74" s="15"/>
      <c r="F74" s="16"/>
      <c r="G74" s="23"/>
      <c r="H74" s="3"/>
      <c r="I74" s="75">
        <f t="shared" si="4"/>
        <v>46349</v>
      </c>
      <c r="J74" s="70">
        <f t="shared" si="1"/>
        <v>933.3333333</v>
      </c>
      <c r="K74" s="76">
        <f t="shared" si="5"/>
        <v>43007</v>
      </c>
      <c r="L74" s="72">
        <f>L45*30</f>
        <v>164739.6774</v>
      </c>
      <c r="M74" s="73" t="str">
        <f t="shared" si="2"/>
        <v>#N/A</v>
      </c>
      <c r="N74" s="74" t="str">
        <f t="shared" si="3"/>
        <v>#N/A</v>
      </c>
      <c r="O74" s="3"/>
      <c r="P74" s="3"/>
      <c r="Q74" s="4"/>
      <c r="R74" s="3"/>
      <c r="S74" s="3"/>
      <c r="T74" s="3"/>
      <c r="U74" s="3"/>
    </row>
    <row r="75">
      <c r="A75" s="3"/>
      <c r="B75" s="3"/>
      <c r="C75" s="3"/>
      <c r="D75" s="3"/>
      <c r="E75" s="15"/>
      <c r="F75" s="16"/>
      <c r="G75" s="23"/>
      <c r="H75" s="3"/>
      <c r="I75" s="75">
        <f t="shared" si="4"/>
        <v>46350</v>
      </c>
      <c r="J75" s="70">
        <f t="shared" si="1"/>
        <v>933.3333333</v>
      </c>
      <c r="K75" s="76">
        <f t="shared" si="5"/>
        <v>43940.33333</v>
      </c>
      <c r="L75" s="72">
        <f>L45*31</f>
        <v>170231</v>
      </c>
      <c r="M75" s="73" t="str">
        <f t="shared" si="2"/>
        <v>#N/A</v>
      </c>
      <c r="N75" s="74" t="str">
        <f t="shared" si="3"/>
        <v>#N/A</v>
      </c>
      <c r="O75" s="3"/>
      <c r="P75" s="3"/>
      <c r="Q75" s="4"/>
      <c r="R75" s="3"/>
      <c r="S75" s="3"/>
      <c r="T75" s="3"/>
      <c r="U75" s="3"/>
    </row>
    <row r="76">
      <c r="A76" s="3"/>
      <c r="B76" s="3"/>
      <c r="C76" s="3"/>
      <c r="D76" s="3"/>
      <c r="E76" s="15"/>
      <c r="F76" s="16"/>
      <c r="G76" s="23"/>
      <c r="H76" s="3"/>
      <c r="I76" s="3"/>
      <c r="J76" s="3"/>
      <c r="K76" s="3"/>
      <c r="L76" s="3"/>
      <c r="M76" s="3"/>
      <c r="N76" s="3"/>
      <c r="O76" s="3"/>
      <c r="P76" s="3"/>
      <c r="Q76" s="4"/>
      <c r="R76" s="3"/>
      <c r="S76" s="3"/>
      <c r="T76" s="3"/>
      <c r="U76" s="3"/>
    </row>
    <row r="77">
      <c r="A77" s="3"/>
      <c r="B77" s="3"/>
      <c r="C77" s="3"/>
      <c r="D77" s="3"/>
      <c r="E77" s="15"/>
      <c r="F77" s="16"/>
      <c r="G77" s="23"/>
      <c r="H77" s="3"/>
      <c r="I77" s="3"/>
      <c r="J77" s="3"/>
      <c r="K77" s="3"/>
      <c r="L77" s="3"/>
      <c r="M77" s="3"/>
      <c r="N77" s="3"/>
      <c r="O77" s="3"/>
      <c r="P77" s="3"/>
      <c r="Q77" s="4"/>
      <c r="R77" s="3"/>
      <c r="S77" s="3"/>
      <c r="T77" s="3"/>
      <c r="U77" s="3"/>
    </row>
    <row r="78">
      <c r="A78" s="3"/>
      <c r="B78" s="3"/>
      <c r="C78" s="3"/>
      <c r="D78" s="3"/>
      <c r="E78" s="15"/>
      <c r="F78" s="16"/>
      <c r="G78" s="23"/>
      <c r="H78" s="3"/>
      <c r="I78" s="3"/>
      <c r="J78" s="3"/>
      <c r="K78" s="3"/>
      <c r="L78" s="3"/>
      <c r="M78" s="3"/>
      <c r="N78" s="3"/>
      <c r="O78" s="3"/>
      <c r="P78" s="3"/>
      <c r="Q78" s="4"/>
      <c r="R78" s="3"/>
      <c r="S78" s="3"/>
      <c r="T78" s="3"/>
      <c r="U78" s="3"/>
    </row>
    <row r="79">
      <c r="A79" s="3"/>
      <c r="B79" s="3"/>
      <c r="C79" s="3"/>
      <c r="D79" s="3"/>
      <c r="E79" s="15"/>
      <c r="F79" s="16"/>
      <c r="G79" s="23"/>
      <c r="H79" s="3"/>
      <c r="I79" s="3"/>
      <c r="J79" s="3"/>
      <c r="K79" s="3"/>
      <c r="L79" s="3"/>
      <c r="M79" s="3"/>
      <c r="N79" s="3"/>
      <c r="O79" s="3"/>
      <c r="P79" s="3"/>
      <c r="Q79" s="4"/>
      <c r="R79" s="3"/>
      <c r="S79" s="3"/>
      <c r="T79" s="3"/>
      <c r="U79" s="3"/>
    </row>
    <row r="80">
      <c r="A80" s="3"/>
      <c r="B80" s="3"/>
      <c r="C80" s="3"/>
      <c r="D80" s="3"/>
      <c r="E80" s="15"/>
      <c r="F80" s="16"/>
      <c r="G80" s="23"/>
      <c r="H80" s="3"/>
      <c r="I80" s="3"/>
      <c r="J80" s="3"/>
      <c r="K80" s="3"/>
      <c r="L80" s="3"/>
      <c r="M80" s="3"/>
      <c r="N80" s="3"/>
      <c r="O80" s="3"/>
      <c r="P80" s="3"/>
      <c r="Q80" s="4"/>
      <c r="R80" s="3"/>
      <c r="S80" s="3"/>
      <c r="T80" s="3"/>
      <c r="U80" s="3"/>
    </row>
    <row r="81">
      <c r="A81" s="3"/>
      <c r="B81" s="3"/>
      <c r="C81" s="3"/>
      <c r="D81" s="3"/>
      <c r="E81" s="15"/>
      <c r="F81" s="16"/>
      <c r="G81" s="23"/>
      <c r="H81" s="3"/>
      <c r="I81" s="3"/>
      <c r="J81" s="3"/>
      <c r="K81" s="3"/>
      <c r="L81" s="3"/>
      <c r="M81" s="3"/>
      <c r="N81" s="3"/>
      <c r="O81" s="3"/>
      <c r="P81" s="3"/>
      <c r="Q81" s="4"/>
      <c r="R81" s="3"/>
      <c r="S81" s="3"/>
      <c r="T81" s="3"/>
      <c r="U81" s="3"/>
    </row>
    <row r="82">
      <c r="A82" s="3"/>
      <c r="B82" s="3"/>
      <c r="C82" s="3"/>
      <c r="D82" s="3"/>
      <c r="E82" s="15"/>
      <c r="F82" s="16"/>
      <c r="G82" s="23"/>
      <c r="H82" s="3"/>
      <c r="I82" s="3"/>
      <c r="J82" s="3"/>
      <c r="K82" s="3"/>
      <c r="L82" s="3"/>
      <c r="M82" s="3"/>
      <c r="N82" s="3"/>
      <c r="O82" s="3"/>
      <c r="P82" s="3"/>
      <c r="Q82" s="4"/>
      <c r="R82" s="3"/>
      <c r="S82" s="3"/>
      <c r="T82" s="3"/>
      <c r="U82" s="3"/>
    </row>
    <row r="83">
      <c r="A83" s="3"/>
      <c r="B83" s="3"/>
      <c r="C83" s="3"/>
      <c r="D83" s="3"/>
      <c r="E83" s="15"/>
      <c r="F83" s="16"/>
      <c r="G83" s="23"/>
      <c r="H83" s="3"/>
      <c r="I83" s="3"/>
      <c r="J83" s="3"/>
      <c r="K83" s="3"/>
      <c r="L83" s="3"/>
      <c r="M83" s="3"/>
      <c r="N83" s="3"/>
      <c r="O83" s="3"/>
      <c r="P83" s="3"/>
      <c r="Q83" s="4"/>
      <c r="R83" s="3"/>
      <c r="S83" s="3"/>
      <c r="T83" s="3"/>
      <c r="U83" s="3"/>
    </row>
    <row r="84">
      <c r="A84" s="3"/>
      <c r="B84" s="3"/>
      <c r="C84" s="3"/>
      <c r="D84" s="3"/>
      <c r="E84" s="15"/>
      <c r="F84" s="16"/>
      <c r="G84" s="23"/>
      <c r="H84" s="3"/>
      <c r="I84" s="3"/>
      <c r="J84" s="3"/>
      <c r="K84" s="3"/>
      <c r="L84" s="3"/>
      <c r="M84" s="3"/>
      <c r="N84" s="3"/>
      <c r="O84" s="3"/>
      <c r="P84" s="3"/>
      <c r="Q84" s="4"/>
      <c r="R84" s="3"/>
      <c r="S84" s="3"/>
      <c r="T84" s="3"/>
      <c r="U84" s="3"/>
    </row>
    <row r="85">
      <c r="A85" s="3"/>
      <c r="B85" s="3"/>
      <c r="C85" s="3"/>
      <c r="D85" s="3"/>
      <c r="E85" s="15"/>
      <c r="F85" s="16"/>
      <c r="G85" s="23"/>
      <c r="H85" s="3"/>
      <c r="I85" s="3"/>
      <c r="J85" s="3"/>
      <c r="K85" s="3"/>
      <c r="L85" s="3"/>
      <c r="M85" s="3"/>
      <c r="N85" s="3"/>
      <c r="O85" s="3"/>
      <c r="P85" s="3"/>
      <c r="Q85" s="4"/>
      <c r="R85" s="3"/>
      <c r="S85" s="3"/>
      <c r="T85" s="3"/>
      <c r="U85" s="3"/>
    </row>
    <row r="86">
      <c r="A86" s="3"/>
      <c r="B86" s="3"/>
      <c r="C86" s="3"/>
      <c r="D86" s="3"/>
      <c r="E86" s="15"/>
      <c r="F86" s="16"/>
      <c r="G86" s="23"/>
      <c r="H86" s="3"/>
      <c r="I86" s="3"/>
      <c r="J86" s="3"/>
      <c r="K86" s="3"/>
      <c r="L86" s="3"/>
      <c r="M86" s="3"/>
      <c r="N86" s="3"/>
      <c r="O86" s="3"/>
      <c r="P86" s="3"/>
      <c r="Q86" s="4"/>
      <c r="R86" s="3"/>
      <c r="S86" s="3"/>
      <c r="T86" s="3"/>
      <c r="U86" s="3"/>
    </row>
    <row r="87">
      <c r="A87" s="3"/>
      <c r="B87" s="3"/>
      <c r="C87" s="3"/>
      <c r="D87" s="3"/>
      <c r="E87" s="15"/>
      <c r="F87" s="16"/>
      <c r="G87" s="23"/>
      <c r="H87" s="3"/>
      <c r="I87" s="3"/>
      <c r="J87" s="3"/>
      <c r="K87" s="3"/>
      <c r="L87" s="3"/>
      <c r="M87" s="3"/>
      <c r="N87" s="3"/>
      <c r="O87" s="3"/>
      <c r="P87" s="3"/>
      <c r="Q87" s="4"/>
      <c r="R87" s="3"/>
      <c r="S87" s="3"/>
      <c r="T87" s="3"/>
      <c r="U87" s="3"/>
    </row>
    <row r="88">
      <c r="A88" s="3"/>
      <c r="B88" s="3"/>
      <c r="C88" s="3"/>
      <c r="D88" s="3"/>
      <c r="E88" s="15"/>
      <c r="F88" s="16"/>
      <c r="G88" s="23"/>
      <c r="H88" s="3"/>
      <c r="I88" s="3"/>
      <c r="J88" s="3"/>
      <c r="K88" s="3"/>
      <c r="L88" s="3"/>
      <c r="M88" s="3"/>
      <c r="N88" s="3"/>
      <c r="O88" s="3"/>
      <c r="P88" s="3"/>
      <c r="Q88" s="4"/>
      <c r="R88" s="3"/>
      <c r="S88" s="3"/>
      <c r="T88" s="3"/>
      <c r="U88" s="3"/>
    </row>
    <row r="89">
      <c r="A89" s="3"/>
      <c r="B89" s="3"/>
      <c r="C89" s="3"/>
      <c r="D89" s="3"/>
      <c r="E89" s="15"/>
      <c r="F89" s="16"/>
      <c r="G89" s="23"/>
      <c r="H89" s="3"/>
      <c r="I89" s="3"/>
      <c r="J89" s="3"/>
      <c r="K89" s="3"/>
      <c r="L89" s="3"/>
      <c r="M89" s="3"/>
      <c r="N89" s="3"/>
      <c r="O89" s="3"/>
      <c r="P89" s="3"/>
      <c r="Q89" s="4"/>
      <c r="R89" s="3"/>
      <c r="S89" s="3"/>
      <c r="T89" s="3"/>
      <c r="U89" s="3"/>
    </row>
    <row r="90">
      <c r="A90" s="3"/>
      <c r="B90" s="3"/>
      <c r="C90" s="3"/>
      <c r="D90" s="3"/>
      <c r="E90" s="15"/>
      <c r="F90" s="16"/>
      <c r="G90" s="23"/>
      <c r="H90" s="3"/>
      <c r="I90" s="3"/>
      <c r="J90" s="3"/>
      <c r="K90" s="3"/>
      <c r="L90" s="3"/>
      <c r="M90" s="3"/>
      <c r="N90" s="3"/>
      <c r="O90" s="3"/>
      <c r="P90" s="3"/>
      <c r="Q90" s="4"/>
      <c r="R90" s="3"/>
      <c r="S90" s="3"/>
      <c r="T90" s="3"/>
      <c r="U90" s="3"/>
    </row>
    <row r="91">
      <c r="A91" s="3"/>
      <c r="B91" s="3"/>
      <c r="C91" s="3"/>
      <c r="D91" s="3"/>
      <c r="E91" s="15"/>
      <c r="F91" s="16"/>
      <c r="G91" s="23"/>
      <c r="H91" s="3"/>
      <c r="I91" s="3"/>
      <c r="J91" s="3"/>
      <c r="K91" s="3"/>
      <c r="L91" s="3"/>
      <c r="M91" s="3"/>
      <c r="N91" s="3"/>
      <c r="O91" s="3"/>
      <c r="P91" s="3"/>
      <c r="Q91" s="4"/>
      <c r="R91" s="3"/>
      <c r="S91" s="3"/>
      <c r="T91" s="3"/>
      <c r="U91" s="3"/>
    </row>
    <row r="92">
      <c r="A92" s="3"/>
      <c r="B92" s="3"/>
      <c r="C92" s="3"/>
      <c r="D92" s="3"/>
      <c r="E92" s="15"/>
      <c r="F92" s="16"/>
      <c r="G92" s="23"/>
      <c r="H92" s="3"/>
      <c r="I92" s="3"/>
      <c r="J92" s="3"/>
      <c r="K92" s="3"/>
      <c r="L92" s="3"/>
      <c r="M92" s="3"/>
      <c r="N92" s="3"/>
      <c r="O92" s="3"/>
      <c r="P92" s="3"/>
      <c r="Q92" s="4"/>
      <c r="R92" s="3"/>
      <c r="S92" s="3"/>
      <c r="T92" s="3"/>
      <c r="U92" s="3"/>
    </row>
    <row r="93">
      <c r="A93" s="3"/>
      <c r="B93" s="3"/>
      <c r="C93" s="3"/>
      <c r="D93" s="3"/>
      <c r="E93" s="15"/>
      <c r="F93" s="16"/>
      <c r="G93" s="23"/>
      <c r="H93" s="3"/>
      <c r="I93" s="3"/>
      <c r="J93" s="3"/>
      <c r="K93" s="3"/>
      <c r="L93" s="3"/>
      <c r="M93" s="3"/>
      <c r="N93" s="3"/>
      <c r="O93" s="3"/>
      <c r="P93" s="3"/>
      <c r="Q93" s="4"/>
      <c r="R93" s="3"/>
      <c r="S93" s="3"/>
      <c r="T93" s="3"/>
      <c r="U93" s="3"/>
    </row>
    <row r="94">
      <c r="A94" s="3"/>
      <c r="B94" s="3"/>
      <c r="C94" s="3"/>
      <c r="D94" s="3"/>
      <c r="E94" s="15"/>
      <c r="F94" s="16"/>
      <c r="G94" s="23"/>
      <c r="H94" s="3"/>
      <c r="I94" s="3"/>
      <c r="J94" s="3"/>
      <c r="K94" s="3"/>
      <c r="L94" s="3"/>
      <c r="M94" s="3"/>
      <c r="N94" s="3"/>
      <c r="O94" s="3"/>
      <c r="P94" s="3"/>
      <c r="Q94" s="4"/>
      <c r="R94" s="3"/>
      <c r="S94" s="3"/>
      <c r="T94" s="3"/>
      <c r="U94" s="3"/>
    </row>
    <row r="95">
      <c r="A95" s="3"/>
      <c r="B95" s="3"/>
      <c r="C95" s="3"/>
      <c r="D95" s="3"/>
      <c r="E95" s="15"/>
      <c r="F95" s="16"/>
      <c r="G95" s="23"/>
      <c r="H95" s="3"/>
      <c r="I95" s="3"/>
      <c r="J95" s="3"/>
      <c r="K95" s="3"/>
      <c r="L95" s="3"/>
      <c r="M95" s="3"/>
      <c r="N95" s="3"/>
      <c r="O95" s="3"/>
      <c r="P95" s="3"/>
      <c r="Q95" s="4"/>
      <c r="R95" s="3"/>
      <c r="S95" s="3"/>
      <c r="T95" s="3"/>
      <c r="U95" s="3"/>
    </row>
    <row r="96">
      <c r="A96" s="3"/>
      <c r="B96" s="3"/>
      <c r="C96" s="3"/>
      <c r="D96" s="3"/>
      <c r="E96" s="15"/>
      <c r="F96" s="16"/>
      <c r="G96" s="23"/>
      <c r="H96" s="3"/>
      <c r="I96" s="3"/>
      <c r="J96" s="3"/>
      <c r="K96" s="3"/>
      <c r="L96" s="3"/>
      <c r="M96" s="3"/>
      <c r="N96" s="3"/>
      <c r="O96" s="3"/>
      <c r="P96" s="3"/>
      <c r="Q96" s="4"/>
      <c r="R96" s="3"/>
      <c r="S96" s="3"/>
      <c r="T96" s="3"/>
      <c r="U96" s="3"/>
    </row>
    <row r="97">
      <c r="A97" s="3"/>
      <c r="B97" s="3"/>
      <c r="C97" s="3"/>
      <c r="D97" s="3"/>
      <c r="E97" s="15"/>
      <c r="F97" s="16"/>
      <c r="G97" s="23"/>
      <c r="H97" s="3"/>
      <c r="I97" s="3"/>
      <c r="J97" s="3"/>
      <c r="K97" s="3"/>
      <c r="L97" s="3"/>
      <c r="M97" s="3"/>
      <c r="N97" s="3"/>
      <c r="O97" s="3"/>
      <c r="P97" s="3"/>
      <c r="Q97" s="4"/>
      <c r="R97" s="3"/>
      <c r="S97" s="3"/>
      <c r="T97" s="3"/>
      <c r="U97" s="3"/>
    </row>
    <row r="98">
      <c r="A98" s="3"/>
      <c r="B98" s="3"/>
      <c r="C98" s="3"/>
      <c r="D98" s="3"/>
      <c r="E98" s="15"/>
      <c r="F98" s="16"/>
      <c r="G98" s="23"/>
      <c r="H98" s="3"/>
      <c r="I98" s="3"/>
      <c r="J98" s="3"/>
      <c r="K98" s="3"/>
      <c r="L98" s="3"/>
      <c r="M98" s="3"/>
      <c r="N98" s="3"/>
      <c r="O98" s="3"/>
      <c r="P98" s="3"/>
      <c r="Q98" s="4"/>
      <c r="R98" s="3"/>
      <c r="S98" s="3"/>
      <c r="T98" s="3"/>
      <c r="U98" s="3"/>
    </row>
    <row r="99">
      <c r="A99" s="3"/>
      <c r="B99" s="3"/>
      <c r="C99" s="3"/>
      <c r="D99" s="3"/>
      <c r="E99" s="15"/>
      <c r="F99" s="16"/>
      <c r="G99" s="23"/>
      <c r="H99" s="3"/>
      <c r="I99" s="3"/>
      <c r="J99" s="3"/>
      <c r="K99" s="3"/>
      <c r="L99" s="3"/>
      <c r="M99" s="3"/>
      <c r="N99" s="3"/>
      <c r="O99" s="3"/>
      <c r="P99" s="3"/>
      <c r="Q99" s="4"/>
      <c r="R99" s="3"/>
      <c r="S99" s="3"/>
      <c r="T99" s="3"/>
      <c r="U99" s="3"/>
    </row>
    <row r="100">
      <c r="A100" s="3"/>
      <c r="B100" s="3"/>
      <c r="C100" s="3"/>
      <c r="D100" s="3"/>
      <c r="E100" s="15"/>
      <c r="F100" s="16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4"/>
      <c r="R100" s="3"/>
      <c r="S100" s="3"/>
      <c r="T100" s="3"/>
      <c r="U100" s="3"/>
    </row>
    <row r="101">
      <c r="A101" s="3"/>
      <c r="B101" s="3"/>
      <c r="C101" s="3"/>
      <c r="D101" s="3"/>
      <c r="E101" s="15"/>
      <c r="F101" s="16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4"/>
      <c r="R101" s="3"/>
      <c r="S101" s="3"/>
      <c r="T101" s="3"/>
      <c r="U101" s="3"/>
    </row>
    <row r="102">
      <c r="A102" s="3"/>
      <c r="B102" s="3"/>
      <c r="C102" s="3"/>
      <c r="D102" s="3"/>
      <c r="E102" s="15"/>
      <c r="F102" s="16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4"/>
      <c r="R102" s="3"/>
      <c r="S102" s="3"/>
      <c r="T102" s="3"/>
      <c r="U102" s="3"/>
    </row>
    <row r="103">
      <c r="A103" s="3"/>
      <c r="B103" s="3"/>
      <c r="C103" s="3"/>
      <c r="D103" s="3"/>
      <c r="E103" s="15"/>
      <c r="F103" s="16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4"/>
      <c r="R103" s="3"/>
      <c r="S103" s="3"/>
      <c r="T103" s="3"/>
      <c r="U103" s="3"/>
    </row>
    <row r="104">
      <c r="A104" s="3"/>
      <c r="B104" s="3"/>
      <c r="C104" s="3"/>
      <c r="D104" s="3"/>
      <c r="E104" s="15"/>
      <c r="F104" s="16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4"/>
      <c r="R104" s="3"/>
      <c r="S104" s="3"/>
      <c r="T104" s="3"/>
      <c r="U104" s="3"/>
    </row>
    <row r="105">
      <c r="A105" s="3"/>
      <c r="B105" s="3"/>
      <c r="C105" s="3"/>
      <c r="D105" s="3"/>
      <c r="E105" s="15"/>
      <c r="F105" s="16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4"/>
      <c r="R105" s="3"/>
      <c r="S105" s="3"/>
      <c r="T105" s="3"/>
      <c r="U105" s="3"/>
    </row>
    <row r="106">
      <c r="A106" s="3"/>
      <c r="B106" s="3"/>
      <c r="C106" s="3"/>
      <c r="D106" s="3"/>
      <c r="E106" s="15"/>
      <c r="F106" s="16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4"/>
      <c r="R106" s="3"/>
      <c r="S106" s="3"/>
      <c r="T106" s="3"/>
      <c r="U106" s="3"/>
    </row>
    <row r="107">
      <c r="A107" s="3"/>
      <c r="B107" s="3"/>
      <c r="C107" s="3"/>
      <c r="D107" s="3"/>
      <c r="E107" s="15"/>
      <c r="F107" s="16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4"/>
      <c r="R107" s="3"/>
      <c r="S107" s="3"/>
      <c r="T107" s="3"/>
      <c r="U107" s="3"/>
    </row>
    <row r="108">
      <c r="A108" s="3"/>
      <c r="B108" s="3"/>
      <c r="C108" s="3"/>
      <c r="D108" s="3"/>
      <c r="E108" s="15"/>
      <c r="F108" s="16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4"/>
      <c r="R108" s="3"/>
      <c r="S108" s="3"/>
      <c r="T108" s="3"/>
      <c r="U108" s="3"/>
    </row>
    <row r="109">
      <c r="A109" s="3"/>
      <c r="B109" s="3"/>
      <c r="C109" s="3"/>
      <c r="D109" s="3"/>
      <c r="E109" s="15"/>
      <c r="F109" s="16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4"/>
      <c r="R109" s="3"/>
      <c r="S109" s="3"/>
      <c r="T109" s="3"/>
      <c r="U109" s="3"/>
    </row>
    <row r="110">
      <c r="A110" s="3"/>
      <c r="B110" s="3"/>
      <c r="C110" s="3"/>
      <c r="D110" s="3"/>
      <c r="E110" s="15"/>
      <c r="F110" s="16"/>
      <c r="G110" s="23"/>
      <c r="H110" s="3"/>
      <c r="I110" s="3"/>
      <c r="J110" s="3"/>
      <c r="K110" s="3"/>
      <c r="L110" s="3"/>
      <c r="M110" s="3"/>
      <c r="N110" s="3"/>
      <c r="O110" s="3"/>
      <c r="P110" s="3"/>
      <c r="Q110" s="4"/>
      <c r="R110" s="3"/>
      <c r="S110" s="3"/>
      <c r="T110" s="3"/>
      <c r="U110" s="3"/>
    </row>
    <row r="111">
      <c r="A111" s="3"/>
      <c r="B111" s="3"/>
      <c r="C111" s="3"/>
      <c r="D111" s="3"/>
      <c r="E111" s="15"/>
      <c r="F111" s="16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4"/>
      <c r="R111" s="3"/>
      <c r="S111" s="3"/>
      <c r="T111" s="3"/>
      <c r="U111" s="3"/>
    </row>
    <row r="112">
      <c r="A112" s="3"/>
      <c r="B112" s="3"/>
      <c r="C112" s="3"/>
      <c r="D112" s="3"/>
      <c r="E112" s="15"/>
      <c r="F112" s="16"/>
      <c r="G112" s="23"/>
      <c r="H112" s="3"/>
      <c r="I112" s="3"/>
      <c r="J112" s="3"/>
      <c r="K112" s="3"/>
      <c r="L112" s="3"/>
      <c r="M112" s="3"/>
      <c r="N112" s="3"/>
      <c r="O112" s="3"/>
      <c r="P112" s="3"/>
      <c r="Q112" s="4"/>
      <c r="R112" s="3"/>
      <c r="S112" s="3"/>
      <c r="T112" s="3"/>
      <c r="U112" s="3"/>
    </row>
    <row r="113">
      <c r="A113" s="3"/>
      <c r="B113" s="3"/>
      <c r="C113" s="3"/>
      <c r="D113" s="3"/>
      <c r="E113" s="15"/>
      <c r="F113" s="16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4"/>
      <c r="R113" s="3"/>
      <c r="S113" s="3"/>
      <c r="T113" s="3"/>
      <c r="U113" s="3"/>
    </row>
    <row r="114">
      <c r="A114" s="3"/>
      <c r="B114" s="3"/>
      <c r="C114" s="3"/>
      <c r="D114" s="3"/>
      <c r="E114" s="15"/>
      <c r="F114" s="16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4"/>
      <c r="R114" s="3"/>
      <c r="S114" s="3"/>
      <c r="T114" s="3"/>
      <c r="U114" s="3"/>
    </row>
    <row r="115">
      <c r="A115" s="3"/>
      <c r="B115" s="3"/>
      <c r="C115" s="3"/>
      <c r="D115" s="3"/>
      <c r="E115" s="15"/>
      <c r="F115" s="16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4"/>
      <c r="R115" s="3"/>
      <c r="S115" s="3"/>
      <c r="T115" s="3"/>
      <c r="U115" s="3"/>
    </row>
    <row r="116">
      <c r="A116" s="3"/>
      <c r="B116" s="3"/>
      <c r="C116" s="3"/>
      <c r="D116" s="3"/>
      <c r="E116" s="15"/>
      <c r="F116" s="16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4"/>
      <c r="R116" s="3"/>
      <c r="S116" s="3"/>
      <c r="T116" s="3"/>
      <c r="U116" s="3"/>
    </row>
    <row r="117">
      <c r="A117" s="3"/>
      <c r="B117" s="3"/>
      <c r="C117" s="3"/>
      <c r="D117" s="3"/>
      <c r="E117" s="78"/>
      <c r="F117" s="79"/>
      <c r="G117" s="18"/>
      <c r="H117" s="3"/>
      <c r="I117" s="3"/>
      <c r="J117" s="3"/>
      <c r="K117" s="3"/>
      <c r="L117" s="3"/>
      <c r="M117" s="3"/>
      <c r="N117" s="3"/>
      <c r="O117" s="3"/>
      <c r="P117" s="3"/>
      <c r="Q117" s="4"/>
      <c r="R117" s="3"/>
      <c r="S117" s="3"/>
      <c r="T117" s="3"/>
      <c r="U117" s="3"/>
    </row>
    <row r="118">
      <c r="A118" s="3"/>
      <c r="B118" s="3"/>
      <c r="C118" s="3"/>
      <c r="D118" s="3"/>
      <c r="E118" s="78"/>
      <c r="F118" s="79"/>
      <c r="G118" s="18"/>
      <c r="H118" s="3"/>
      <c r="I118" s="3"/>
      <c r="J118" s="3"/>
      <c r="K118" s="3"/>
      <c r="L118" s="3"/>
      <c r="M118" s="3"/>
      <c r="N118" s="3"/>
      <c r="O118" s="3"/>
      <c r="P118" s="3"/>
      <c r="Q118" s="4"/>
      <c r="R118" s="3"/>
      <c r="S118" s="3"/>
      <c r="T118" s="3"/>
      <c r="U118" s="3"/>
    </row>
    <row r="119">
      <c r="A119" s="3"/>
      <c r="B119" s="3"/>
      <c r="C119" s="3"/>
      <c r="D119" s="3"/>
      <c r="E119" s="78"/>
      <c r="F119" s="79"/>
      <c r="G119" s="18"/>
      <c r="H119" s="3"/>
      <c r="I119" s="3"/>
      <c r="J119" s="3"/>
      <c r="K119" s="3"/>
      <c r="L119" s="3"/>
      <c r="M119" s="3"/>
      <c r="N119" s="3"/>
      <c r="O119" s="3"/>
      <c r="P119" s="3"/>
      <c r="Q119" s="4"/>
      <c r="R119" s="3"/>
      <c r="S119" s="3"/>
      <c r="T119" s="3"/>
      <c r="U119" s="3"/>
    </row>
    <row r="120">
      <c r="A120" s="3"/>
      <c r="B120" s="3"/>
      <c r="C120" s="3"/>
      <c r="D120" s="3"/>
      <c r="E120" s="78"/>
      <c r="F120" s="79"/>
      <c r="G120" s="18"/>
      <c r="H120" s="3"/>
      <c r="I120" s="3"/>
      <c r="J120" s="3"/>
      <c r="K120" s="3"/>
      <c r="L120" s="3"/>
      <c r="M120" s="3"/>
      <c r="N120" s="3"/>
      <c r="O120" s="3"/>
      <c r="P120" s="3"/>
      <c r="Q120" s="4"/>
      <c r="R120" s="3"/>
      <c r="S120" s="3"/>
      <c r="T120" s="3"/>
      <c r="U120" s="3"/>
    </row>
    <row r="121">
      <c r="A121" s="3"/>
      <c r="B121" s="3"/>
      <c r="C121" s="3"/>
      <c r="D121" s="3"/>
      <c r="E121" s="78"/>
      <c r="F121" s="79"/>
      <c r="G121" s="18"/>
      <c r="H121" s="3"/>
      <c r="I121" s="3"/>
      <c r="J121" s="3"/>
      <c r="K121" s="3"/>
      <c r="L121" s="3"/>
      <c r="M121" s="3"/>
      <c r="N121" s="3"/>
      <c r="O121" s="3"/>
      <c r="P121" s="3"/>
      <c r="Q121" s="4"/>
      <c r="R121" s="3"/>
      <c r="S121" s="3"/>
      <c r="T121" s="3"/>
      <c r="U121" s="3"/>
    </row>
    <row r="122">
      <c r="A122" s="3"/>
      <c r="B122" s="3"/>
      <c r="C122" s="3"/>
      <c r="D122" s="3"/>
      <c r="E122" s="78"/>
      <c r="F122" s="16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4"/>
      <c r="R122" s="3"/>
      <c r="S122" s="3"/>
      <c r="T122" s="3"/>
      <c r="U122" s="3"/>
    </row>
    <row r="123">
      <c r="A123" s="3"/>
      <c r="B123" s="3"/>
      <c r="C123" s="3"/>
      <c r="D123" s="3"/>
      <c r="E123" s="78"/>
      <c r="F123" s="16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4"/>
      <c r="R123" s="3"/>
      <c r="S123" s="3"/>
      <c r="T123" s="3"/>
      <c r="U123" s="3"/>
    </row>
    <row r="124">
      <c r="A124" s="3"/>
      <c r="B124" s="3"/>
      <c r="C124" s="3"/>
      <c r="D124" s="3"/>
      <c r="E124" s="78"/>
      <c r="F124" s="16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4"/>
      <c r="R124" s="3"/>
      <c r="S124" s="3"/>
      <c r="T124" s="3"/>
      <c r="U124" s="3"/>
    </row>
    <row r="125">
      <c r="A125" s="3"/>
      <c r="B125" s="3"/>
      <c r="C125" s="3"/>
      <c r="D125" s="3"/>
      <c r="E125" s="78"/>
      <c r="F125" s="16"/>
      <c r="G125" s="23"/>
      <c r="H125" s="3"/>
      <c r="I125" s="3"/>
      <c r="J125" s="3"/>
      <c r="K125" s="3"/>
      <c r="L125" s="3"/>
      <c r="M125" s="3"/>
      <c r="N125" s="3"/>
      <c r="O125" s="3"/>
      <c r="P125" s="3"/>
      <c r="Q125" s="4"/>
      <c r="R125" s="3"/>
      <c r="S125" s="3"/>
      <c r="T125" s="3"/>
      <c r="U125" s="3"/>
    </row>
    <row r="126">
      <c r="A126" s="3"/>
      <c r="B126" s="3"/>
      <c r="C126" s="3"/>
      <c r="D126" s="3"/>
      <c r="E126" s="78"/>
      <c r="F126" s="16"/>
      <c r="G126" s="23"/>
      <c r="H126" s="3"/>
      <c r="I126" s="3"/>
      <c r="J126" s="3"/>
      <c r="K126" s="3"/>
      <c r="L126" s="3"/>
      <c r="M126" s="3"/>
      <c r="N126" s="3"/>
      <c r="O126" s="3"/>
      <c r="P126" s="3"/>
      <c r="Q126" s="4"/>
      <c r="R126" s="3"/>
      <c r="S126" s="3"/>
      <c r="T126" s="3"/>
      <c r="U126" s="3"/>
    </row>
    <row r="127">
      <c r="A127" s="3"/>
      <c r="B127" s="3"/>
      <c r="C127" s="3"/>
      <c r="D127" s="3"/>
      <c r="E127" s="78"/>
      <c r="F127" s="16"/>
      <c r="G127" s="23"/>
      <c r="H127" s="3"/>
      <c r="I127" s="3"/>
      <c r="J127" s="3"/>
      <c r="K127" s="3"/>
      <c r="L127" s="3"/>
      <c r="M127" s="3"/>
      <c r="N127" s="3"/>
      <c r="O127" s="3"/>
      <c r="P127" s="3"/>
      <c r="Q127" s="4"/>
      <c r="R127" s="3"/>
      <c r="S127" s="3"/>
      <c r="T127" s="3"/>
      <c r="U127" s="3"/>
    </row>
    <row r="128">
      <c r="A128" s="3"/>
      <c r="B128" s="3"/>
      <c r="C128" s="3"/>
      <c r="D128" s="3"/>
      <c r="E128" s="80" t="s">
        <v>23</v>
      </c>
      <c r="F128" s="81"/>
      <c r="G128" s="82">
        <f>SUM(G5:G127)</f>
        <v>15007</v>
      </c>
      <c r="H128" s="3"/>
      <c r="I128" s="3"/>
      <c r="J128" s="3"/>
      <c r="K128" s="3"/>
      <c r="L128" s="3"/>
      <c r="M128" s="3"/>
      <c r="N128" s="3"/>
      <c r="O128" s="3"/>
      <c r="P128" s="3"/>
      <c r="Q128" s="4"/>
      <c r="R128" s="3"/>
      <c r="S128" s="3"/>
      <c r="T128" s="3"/>
      <c r="U128" s="3"/>
    </row>
    <row r="129">
      <c r="A129" s="3"/>
      <c r="B129" s="3"/>
      <c r="C129" s="3"/>
      <c r="D129" s="3"/>
      <c r="E129" s="4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4"/>
      <c r="R129" s="3"/>
      <c r="S129" s="3"/>
      <c r="T129" s="3"/>
      <c r="U129" s="3"/>
    </row>
    <row r="130">
      <c r="A130" s="3"/>
      <c r="B130" s="3"/>
      <c r="C130" s="3"/>
      <c r="D130" s="3"/>
      <c r="E130" s="4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4"/>
      <c r="R130" s="3"/>
      <c r="S130" s="3"/>
      <c r="T130" s="3"/>
      <c r="U130" s="3"/>
    </row>
    <row r="131">
      <c r="A131" s="3"/>
      <c r="B131" s="3"/>
      <c r="C131" s="3"/>
      <c r="D131" s="3"/>
      <c r="E131" s="4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4"/>
      <c r="R131" s="3"/>
      <c r="S131" s="3"/>
      <c r="T131" s="3"/>
      <c r="U131" s="3"/>
    </row>
    <row r="132">
      <c r="A132" s="3"/>
      <c r="B132" s="3"/>
      <c r="C132" s="3"/>
      <c r="D132" s="3"/>
      <c r="E132" s="4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4"/>
      <c r="R132" s="3"/>
      <c r="S132" s="3"/>
      <c r="T132" s="3"/>
      <c r="U132" s="3"/>
    </row>
    <row r="133">
      <c r="A133" s="3"/>
      <c r="B133" s="3"/>
      <c r="C133" s="3"/>
      <c r="D133" s="3"/>
      <c r="E133" s="4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4"/>
      <c r="R133" s="3"/>
      <c r="S133" s="3"/>
      <c r="T133" s="3"/>
      <c r="U133" s="3"/>
    </row>
    <row r="134">
      <c r="A134" s="3"/>
      <c r="B134" s="3"/>
      <c r="C134" s="3"/>
      <c r="D134" s="3"/>
      <c r="E134" s="4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4"/>
      <c r="R134" s="3"/>
      <c r="S134" s="3"/>
      <c r="T134" s="3"/>
      <c r="U134" s="3"/>
    </row>
    <row r="135">
      <c r="A135" s="3"/>
      <c r="B135" s="3"/>
      <c r="C135" s="3"/>
      <c r="D135" s="3"/>
      <c r="E135" s="4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4"/>
      <c r="R135" s="3"/>
      <c r="S135" s="3"/>
      <c r="T135" s="3"/>
      <c r="U135" s="3"/>
    </row>
    <row r="136">
      <c r="A136" s="3"/>
      <c r="B136" s="3"/>
      <c r="C136" s="3"/>
      <c r="D136" s="3"/>
      <c r="E136" s="4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4"/>
      <c r="R136" s="3"/>
      <c r="S136" s="3"/>
      <c r="T136" s="3"/>
      <c r="U136" s="3"/>
    </row>
    <row r="137">
      <c r="A137" s="3"/>
      <c r="B137" s="3"/>
      <c r="C137" s="3"/>
      <c r="D137" s="3"/>
      <c r="E137" s="4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4"/>
      <c r="R137" s="3"/>
      <c r="S137" s="3"/>
      <c r="T137" s="3"/>
      <c r="U137" s="3"/>
    </row>
    <row r="138">
      <c r="A138" s="3"/>
      <c r="B138" s="3"/>
      <c r="C138" s="3"/>
      <c r="D138" s="3"/>
      <c r="E138" s="4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4"/>
      <c r="R138" s="3"/>
      <c r="S138" s="3"/>
      <c r="T138" s="3"/>
      <c r="U138" s="3"/>
    </row>
    <row r="139">
      <c r="A139" s="3"/>
      <c r="B139" s="3"/>
      <c r="C139" s="3"/>
      <c r="D139" s="3"/>
      <c r="E139" s="4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4"/>
      <c r="R139" s="3"/>
      <c r="S139" s="3"/>
      <c r="T139" s="3"/>
      <c r="U139" s="3"/>
    </row>
    <row r="140">
      <c r="A140" s="3"/>
      <c r="B140" s="3"/>
      <c r="C140" s="3"/>
      <c r="D140" s="3"/>
      <c r="E140" s="4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4"/>
      <c r="R140" s="3"/>
      <c r="S140" s="3"/>
      <c r="T140" s="3"/>
      <c r="U140" s="3"/>
    </row>
    <row r="141">
      <c r="A141" s="3"/>
      <c r="B141" s="3"/>
      <c r="C141" s="3"/>
      <c r="D141" s="3"/>
      <c r="E141" s="4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4"/>
      <c r="R141" s="3"/>
      <c r="S141" s="3"/>
      <c r="T141" s="3"/>
      <c r="U141" s="3"/>
    </row>
    <row r="142">
      <c r="A142" s="3"/>
      <c r="B142" s="3"/>
      <c r="C142" s="3"/>
      <c r="D142" s="3"/>
      <c r="E142" s="4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4"/>
      <c r="R142" s="3"/>
      <c r="S142" s="3"/>
      <c r="T142" s="3"/>
      <c r="U142" s="3"/>
    </row>
    <row r="143">
      <c r="A143" s="3"/>
      <c r="B143" s="3"/>
      <c r="C143" s="3"/>
      <c r="D143" s="3"/>
      <c r="E143" s="4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4"/>
      <c r="R143" s="3"/>
      <c r="S143" s="3"/>
      <c r="T143" s="3"/>
      <c r="U143" s="3"/>
    </row>
    <row r="144">
      <c r="A144" s="3"/>
      <c r="B144" s="3"/>
      <c r="C144" s="3"/>
      <c r="D144" s="3"/>
      <c r="E144" s="4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4"/>
      <c r="R144" s="3"/>
      <c r="S144" s="3"/>
      <c r="T144" s="3"/>
      <c r="U144" s="3"/>
    </row>
    <row r="145">
      <c r="A145" s="3"/>
      <c r="B145" s="3"/>
      <c r="C145" s="3"/>
      <c r="D145" s="3"/>
      <c r="E145" s="4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4"/>
      <c r="R145" s="3"/>
      <c r="S145" s="3"/>
      <c r="T145" s="3"/>
      <c r="U145" s="3"/>
    </row>
    <row r="146">
      <c r="A146" s="3"/>
      <c r="B146" s="3"/>
      <c r="C146" s="3"/>
      <c r="D146" s="3"/>
      <c r="E146" s="4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4"/>
      <c r="R146" s="3"/>
      <c r="S146" s="3"/>
      <c r="T146" s="3"/>
      <c r="U146" s="3"/>
    </row>
    <row r="147">
      <c r="A147" s="3"/>
      <c r="B147" s="3"/>
      <c r="C147" s="3"/>
      <c r="D147" s="3"/>
      <c r="E147" s="4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4"/>
      <c r="R147" s="3"/>
      <c r="S147" s="3"/>
      <c r="T147" s="3"/>
      <c r="U147" s="3"/>
    </row>
    <row r="148">
      <c r="A148" s="3"/>
      <c r="B148" s="3"/>
      <c r="C148" s="3"/>
      <c r="D148" s="3"/>
      <c r="E148" s="4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4"/>
      <c r="R148" s="3"/>
      <c r="S148" s="3"/>
      <c r="T148" s="3"/>
      <c r="U148" s="3"/>
    </row>
    <row r="149">
      <c r="A149" s="3"/>
      <c r="B149" s="3"/>
      <c r="C149" s="3"/>
      <c r="D149" s="3"/>
      <c r="E149" s="4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4"/>
      <c r="R149" s="3"/>
      <c r="S149" s="3"/>
      <c r="T149" s="3"/>
      <c r="U149" s="3"/>
    </row>
    <row r="150">
      <c r="A150" s="3"/>
      <c r="B150" s="3"/>
      <c r="C150" s="3"/>
      <c r="D150" s="3"/>
      <c r="E150" s="4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4"/>
      <c r="R150" s="3"/>
      <c r="S150" s="3"/>
      <c r="T150" s="3"/>
      <c r="U150" s="3"/>
    </row>
    <row r="151">
      <c r="A151" s="3"/>
      <c r="B151" s="3"/>
      <c r="C151" s="3"/>
      <c r="D151" s="3"/>
      <c r="E151" s="4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4"/>
      <c r="R151" s="3"/>
      <c r="S151" s="3"/>
      <c r="T151" s="3"/>
      <c r="U151" s="3"/>
    </row>
    <row r="152">
      <c r="A152" s="3"/>
      <c r="B152" s="3"/>
      <c r="C152" s="3"/>
      <c r="D152" s="3"/>
      <c r="E152" s="4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4"/>
      <c r="R152" s="3"/>
      <c r="S152" s="3"/>
      <c r="T152" s="3"/>
      <c r="U152" s="3"/>
    </row>
    <row r="153">
      <c r="A153" s="3"/>
      <c r="B153" s="3"/>
      <c r="C153" s="3"/>
      <c r="D153" s="3"/>
      <c r="E153" s="4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4"/>
      <c r="R153" s="3"/>
      <c r="S153" s="3"/>
      <c r="T153" s="3"/>
      <c r="U153" s="3"/>
    </row>
    <row r="154">
      <c r="A154" s="3"/>
      <c r="B154" s="3"/>
      <c r="C154" s="3"/>
      <c r="D154" s="3"/>
      <c r="E154" s="4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4"/>
      <c r="R154" s="3"/>
      <c r="S154" s="3"/>
      <c r="T154" s="3"/>
      <c r="U154" s="3"/>
    </row>
    <row r="155">
      <c r="A155" s="3"/>
      <c r="B155" s="3"/>
      <c r="C155" s="3"/>
      <c r="D155" s="3"/>
      <c r="E155" s="4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4"/>
      <c r="R155" s="3"/>
      <c r="S155" s="3"/>
      <c r="T155" s="3"/>
      <c r="U155" s="3"/>
    </row>
    <row r="156">
      <c r="A156" s="3"/>
      <c r="B156" s="3"/>
      <c r="C156" s="3"/>
      <c r="D156" s="3"/>
      <c r="E156" s="4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4"/>
      <c r="R156" s="3"/>
      <c r="S156" s="3"/>
      <c r="T156" s="3"/>
      <c r="U156" s="3"/>
    </row>
    <row r="157">
      <c r="A157" s="3"/>
      <c r="B157" s="3"/>
      <c r="C157" s="3"/>
      <c r="D157" s="3"/>
      <c r="E157" s="4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4"/>
      <c r="R157" s="3"/>
      <c r="S157" s="3"/>
      <c r="T157" s="3"/>
      <c r="U157" s="3"/>
    </row>
    <row r="158">
      <c r="A158" s="3"/>
      <c r="B158" s="3"/>
      <c r="C158" s="3"/>
      <c r="D158" s="3"/>
      <c r="E158" s="4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4"/>
      <c r="R158" s="3"/>
      <c r="S158" s="3"/>
      <c r="T158" s="3"/>
      <c r="U158" s="3"/>
    </row>
    <row r="159">
      <c r="A159" s="3"/>
      <c r="B159" s="3"/>
      <c r="C159" s="3"/>
      <c r="D159" s="3"/>
      <c r="E159" s="4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4"/>
      <c r="R159" s="3"/>
      <c r="S159" s="3"/>
      <c r="T159" s="3"/>
      <c r="U159" s="3"/>
    </row>
    <row r="160">
      <c r="A160" s="3"/>
      <c r="B160" s="3"/>
      <c r="C160" s="3"/>
      <c r="D160" s="3"/>
      <c r="E160" s="4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4"/>
      <c r="R160" s="3"/>
      <c r="S160" s="3"/>
      <c r="T160" s="3"/>
      <c r="U160" s="3"/>
    </row>
    <row r="161">
      <c r="A161" s="3"/>
      <c r="B161" s="3"/>
      <c r="C161" s="3"/>
      <c r="D161" s="3"/>
      <c r="E161" s="4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4"/>
      <c r="R161" s="3"/>
      <c r="S161" s="3"/>
      <c r="T161" s="3"/>
      <c r="U161" s="3"/>
    </row>
    <row r="162">
      <c r="A162" s="3"/>
      <c r="B162" s="3"/>
      <c r="C162" s="3"/>
      <c r="D162" s="3"/>
      <c r="E162" s="4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4"/>
      <c r="R162" s="3"/>
      <c r="S162" s="3"/>
      <c r="T162" s="3"/>
      <c r="U162" s="3"/>
    </row>
    <row r="163">
      <c r="A163" s="3"/>
      <c r="B163" s="3"/>
      <c r="C163" s="3"/>
      <c r="D163" s="3"/>
      <c r="E163" s="4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4"/>
      <c r="R163" s="3"/>
      <c r="S163" s="3"/>
      <c r="T163" s="3"/>
      <c r="U163" s="3"/>
    </row>
    <row r="164">
      <c r="A164" s="3"/>
      <c r="B164" s="3"/>
      <c r="C164" s="3"/>
      <c r="D164" s="3"/>
      <c r="E164" s="4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4"/>
      <c r="R164" s="3"/>
      <c r="S164" s="3"/>
      <c r="T164" s="3"/>
      <c r="U164" s="3"/>
    </row>
    <row r="165">
      <c r="A165" s="3"/>
      <c r="B165" s="3"/>
      <c r="C165" s="3"/>
      <c r="D165" s="3"/>
      <c r="E165" s="4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4"/>
      <c r="R165" s="3"/>
      <c r="S165" s="3"/>
      <c r="T165" s="3"/>
      <c r="U165" s="3"/>
    </row>
    <row r="166">
      <c r="A166" s="3"/>
      <c r="B166" s="3"/>
      <c r="C166" s="3"/>
      <c r="D166" s="3"/>
      <c r="E166" s="4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4"/>
      <c r="R166" s="3"/>
      <c r="S166" s="3"/>
      <c r="T166" s="3"/>
      <c r="U166" s="3"/>
    </row>
    <row r="167">
      <c r="A167" s="3"/>
      <c r="B167" s="3"/>
      <c r="C167" s="3"/>
      <c r="D167" s="3"/>
      <c r="E167" s="4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4"/>
      <c r="R167" s="3"/>
      <c r="S167" s="3"/>
      <c r="T167" s="3"/>
      <c r="U167" s="3"/>
    </row>
    <row r="168">
      <c r="A168" s="3"/>
      <c r="B168" s="3"/>
      <c r="C168" s="3"/>
      <c r="D168" s="3"/>
      <c r="E168" s="4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4"/>
      <c r="R168" s="3"/>
      <c r="S168" s="3"/>
      <c r="T168" s="3"/>
      <c r="U168" s="3"/>
    </row>
    <row r="169">
      <c r="A169" s="3"/>
      <c r="B169" s="3"/>
      <c r="C169" s="3"/>
      <c r="D169" s="3"/>
      <c r="E169" s="4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4"/>
      <c r="R169" s="3"/>
      <c r="S169" s="3"/>
      <c r="T169" s="3"/>
      <c r="U169" s="3"/>
    </row>
    <row r="170">
      <c r="A170" s="3"/>
      <c r="B170" s="3"/>
      <c r="C170" s="3"/>
      <c r="D170" s="3"/>
      <c r="E170" s="4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4"/>
      <c r="R170" s="3"/>
      <c r="S170" s="3"/>
      <c r="T170" s="3"/>
      <c r="U170" s="3"/>
    </row>
    <row r="171">
      <c r="A171" s="3"/>
      <c r="B171" s="3"/>
      <c r="C171" s="3"/>
      <c r="D171" s="3"/>
      <c r="E171" s="4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4"/>
      <c r="R171" s="3"/>
      <c r="S171" s="3"/>
      <c r="T171" s="3"/>
      <c r="U171" s="3"/>
    </row>
    <row r="172">
      <c r="A172" s="3"/>
      <c r="B172" s="3"/>
      <c r="C172" s="3"/>
      <c r="D172" s="3"/>
      <c r="E172" s="4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4"/>
      <c r="R172" s="3"/>
      <c r="S172" s="3"/>
      <c r="T172" s="3"/>
      <c r="U172" s="3"/>
    </row>
    <row r="173">
      <c r="A173" s="3"/>
      <c r="B173" s="3"/>
      <c r="C173" s="3"/>
      <c r="D173" s="3"/>
      <c r="E173" s="4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4"/>
      <c r="R173" s="3"/>
      <c r="S173" s="3"/>
      <c r="T173" s="3"/>
      <c r="U173" s="3"/>
    </row>
    <row r="174">
      <c r="A174" s="3"/>
      <c r="B174" s="3"/>
      <c r="C174" s="3"/>
      <c r="D174" s="3"/>
      <c r="E174" s="4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4"/>
      <c r="R174" s="3"/>
      <c r="S174" s="3"/>
      <c r="T174" s="3"/>
      <c r="U174" s="3"/>
    </row>
    <row r="175">
      <c r="A175" s="3"/>
      <c r="B175" s="3"/>
      <c r="C175" s="3"/>
      <c r="D175" s="3"/>
      <c r="E175" s="4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4"/>
      <c r="R175" s="3"/>
      <c r="S175" s="3"/>
      <c r="T175" s="3"/>
      <c r="U175" s="3"/>
    </row>
    <row r="176">
      <c r="A176" s="3"/>
      <c r="B176" s="3"/>
      <c r="C176" s="3"/>
      <c r="D176" s="3"/>
      <c r="E176" s="4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4"/>
      <c r="R176" s="3"/>
      <c r="S176" s="3"/>
      <c r="T176" s="3"/>
      <c r="U176" s="3"/>
    </row>
    <row r="177">
      <c r="A177" s="3"/>
      <c r="B177" s="3"/>
      <c r="C177" s="3"/>
      <c r="D177" s="3"/>
      <c r="E177" s="4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4"/>
      <c r="R177" s="3"/>
      <c r="S177" s="3"/>
      <c r="T177" s="3"/>
      <c r="U177" s="3"/>
    </row>
    <row r="178">
      <c r="A178" s="3"/>
      <c r="B178" s="3"/>
      <c r="C178" s="3"/>
      <c r="D178" s="3"/>
      <c r="E178" s="4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4"/>
      <c r="R178" s="3"/>
      <c r="S178" s="3"/>
      <c r="T178" s="3"/>
      <c r="U178" s="3"/>
    </row>
    <row r="179">
      <c r="A179" s="3"/>
      <c r="B179" s="3"/>
      <c r="C179" s="3"/>
      <c r="D179" s="3"/>
      <c r="E179" s="4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4"/>
      <c r="R179" s="3"/>
      <c r="S179" s="3"/>
      <c r="T179" s="3"/>
      <c r="U179" s="3"/>
    </row>
    <row r="180">
      <c r="A180" s="3"/>
      <c r="B180" s="3"/>
      <c r="C180" s="3"/>
      <c r="D180" s="3"/>
      <c r="E180" s="4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4"/>
      <c r="R180" s="3"/>
      <c r="S180" s="3"/>
      <c r="T180" s="3"/>
      <c r="U180" s="3"/>
    </row>
    <row r="181">
      <c r="A181" s="3"/>
      <c r="B181" s="3"/>
      <c r="C181" s="3"/>
      <c r="D181" s="3"/>
      <c r="E181" s="4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4"/>
      <c r="R181" s="3"/>
      <c r="S181" s="3"/>
      <c r="T181" s="3"/>
      <c r="U181" s="3"/>
    </row>
    <row r="182">
      <c r="A182" s="3"/>
      <c r="B182" s="3"/>
      <c r="C182" s="3"/>
      <c r="D182" s="3"/>
      <c r="E182" s="4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4"/>
      <c r="R182" s="3"/>
      <c r="S182" s="3"/>
      <c r="T182" s="3"/>
      <c r="U182" s="3"/>
    </row>
    <row r="183">
      <c r="A183" s="3"/>
      <c r="B183" s="3"/>
      <c r="C183" s="3"/>
      <c r="D183" s="3"/>
      <c r="E183" s="4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4"/>
      <c r="R183" s="3"/>
      <c r="S183" s="3"/>
      <c r="T183" s="3"/>
      <c r="U183" s="3"/>
    </row>
    <row r="184">
      <c r="A184" s="3"/>
      <c r="B184" s="3"/>
      <c r="C184" s="3"/>
      <c r="D184" s="3"/>
      <c r="E184" s="4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4"/>
      <c r="R184" s="3"/>
      <c r="S184" s="3"/>
      <c r="T184" s="3"/>
      <c r="U184" s="3"/>
    </row>
    <row r="185">
      <c r="A185" s="3"/>
      <c r="B185" s="3"/>
      <c r="C185" s="3"/>
      <c r="D185" s="3"/>
      <c r="E185" s="4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4"/>
      <c r="R185" s="3"/>
      <c r="S185" s="3"/>
      <c r="T185" s="3"/>
      <c r="U185" s="3"/>
    </row>
    <row r="186">
      <c r="A186" s="3"/>
      <c r="B186" s="3"/>
      <c r="C186" s="3"/>
      <c r="D186" s="3"/>
      <c r="E186" s="4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4"/>
      <c r="R186" s="3"/>
      <c r="S186" s="3"/>
      <c r="T186" s="3"/>
      <c r="U186" s="3"/>
    </row>
    <row r="187">
      <c r="A187" s="3"/>
      <c r="B187" s="3"/>
      <c r="C187" s="3"/>
      <c r="D187" s="3"/>
      <c r="E187" s="4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4"/>
      <c r="R187" s="3"/>
      <c r="S187" s="3"/>
      <c r="T187" s="3"/>
      <c r="U187" s="3"/>
    </row>
    <row r="188">
      <c r="A188" s="3"/>
      <c r="B188" s="3"/>
      <c r="C188" s="3"/>
      <c r="D188" s="3"/>
      <c r="E188" s="4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4"/>
      <c r="R188" s="3"/>
      <c r="S188" s="3"/>
      <c r="T188" s="3"/>
      <c r="U188" s="3"/>
    </row>
    <row r="189">
      <c r="A189" s="3"/>
      <c r="B189" s="3"/>
      <c r="C189" s="3"/>
      <c r="D189" s="3"/>
      <c r="E189" s="4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4"/>
      <c r="R189" s="3"/>
      <c r="S189" s="3"/>
      <c r="T189" s="3"/>
      <c r="U189" s="3"/>
    </row>
    <row r="190">
      <c r="A190" s="3"/>
      <c r="B190" s="3"/>
      <c r="C190" s="3"/>
      <c r="D190" s="3"/>
      <c r="E190" s="4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4"/>
      <c r="R190" s="3"/>
      <c r="S190" s="3"/>
      <c r="T190" s="3"/>
      <c r="U190" s="3"/>
    </row>
    <row r="191">
      <c r="A191" s="3"/>
      <c r="B191" s="3"/>
      <c r="C191" s="3"/>
      <c r="D191" s="3"/>
      <c r="E191" s="4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4"/>
      <c r="R191" s="3"/>
      <c r="S191" s="3"/>
      <c r="T191" s="3"/>
      <c r="U191" s="3"/>
    </row>
    <row r="192">
      <c r="A192" s="3"/>
      <c r="B192" s="3"/>
      <c r="C192" s="3"/>
      <c r="D192" s="3"/>
      <c r="E192" s="4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4"/>
      <c r="R192" s="3"/>
      <c r="S192" s="3"/>
      <c r="T192" s="3"/>
      <c r="U192" s="3"/>
    </row>
    <row r="193">
      <c r="A193" s="3"/>
      <c r="B193" s="3"/>
      <c r="C193" s="3"/>
      <c r="D193" s="3"/>
      <c r="E193" s="4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4"/>
      <c r="R193" s="3"/>
      <c r="S193" s="3"/>
      <c r="T193" s="3"/>
      <c r="U193" s="3"/>
    </row>
    <row r="194">
      <c r="A194" s="3"/>
      <c r="B194" s="3"/>
      <c r="C194" s="3"/>
      <c r="D194" s="3"/>
      <c r="E194" s="4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4"/>
      <c r="R194" s="3"/>
      <c r="S194" s="3"/>
      <c r="T194" s="3"/>
      <c r="U194" s="3"/>
    </row>
    <row r="195">
      <c r="A195" s="3"/>
      <c r="B195" s="3"/>
      <c r="C195" s="3"/>
      <c r="D195" s="3"/>
      <c r="E195" s="4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4"/>
      <c r="R195" s="3"/>
      <c r="S195" s="3"/>
      <c r="T195" s="3"/>
      <c r="U195" s="3"/>
    </row>
    <row r="196">
      <c r="A196" s="3"/>
      <c r="B196" s="3"/>
      <c r="C196" s="3"/>
      <c r="D196" s="3"/>
      <c r="E196" s="4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4"/>
      <c r="R196" s="3"/>
      <c r="S196" s="3"/>
      <c r="T196" s="3"/>
      <c r="U196" s="3"/>
    </row>
    <row r="197">
      <c r="A197" s="3"/>
      <c r="B197" s="3"/>
      <c r="C197" s="3"/>
      <c r="D197" s="3"/>
      <c r="E197" s="4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4"/>
      <c r="R197" s="3"/>
      <c r="S197" s="3"/>
      <c r="T197" s="3"/>
      <c r="U197" s="3"/>
    </row>
    <row r="198">
      <c r="A198" s="3"/>
      <c r="B198" s="3"/>
      <c r="C198" s="3"/>
      <c r="D198" s="3"/>
      <c r="E198" s="4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4"/>
      <c r="R198" s="3"/>
      <c r="S198" s="3"/>
      <c r="T198" s="3"/>
      <c r="U198" s="3"/>
    </row>
    <row r="199">
      <c r="A199" s="3"/>
      <c r="B199" s="3"/>
      <c r="C199" s="3"/>
      <c r="D199" s="3"/>
      <c r="E199" s="4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4"/>
      <c r="R199" s="3"/>
      <c r="S199" s="3"/>
      <c r="T199" s="3"/>
      <c r="U199" s="3"/>
    </row>
    <row r="200">
      <c r="A200" s="3"/>
      <c r="B200" s="3"/>
      <c r="C200" s="3"/>
      <c r="D200" s="3"/>
      <c r="E200" s="4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4"/>
      <c r="R200" s="3"/>
      <c r="S200" s="3"/>
      <c r="T200" s="3"/>
      <c r="U200" s="3"/>
    </row>
    <row r="201">
      <c r="A201" s="3"/>
      <c r="B201" s="3"/>
      <c r="C201" s="3"/>
      <c r="D201" s="3"/>
      <c r="E201" s="4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4"/>
      <c r="R201" s="3"/>
      <c r="S201" s="3"/>
      <c r="T201" s="3"/>
      <c r="U201" s="3"/>
    </row>
    <row r="202">
      <c r="A202" s="3"/>
      <c r="B202" s="3"/>
      <c r="C202" s="3"/>
      <c r="D202" s="3"/>
      <c r="E202" s="4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4"/>
      <c r="R202" s="3"/>
      <c r="S202" s="3"/>
      <c r="T202" s="3"/>
      <c r="U202" s="3"/>
    </row>
    <row r="203">
      <c r="A203" s="3"/>
      <c r="B203" s="3"/>
      <c r="C203" s="3"/>
      <c r="D203" s="3"/>
      <c r="E203" s="4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4"/>
      <c r="R203" s="3"/>
      <c r="S203" s="3"/>
      <c r="T203" s="3"/>
      <c r="U203" s="3"/>
    </row>
    <row r="204">
      <c r="A204" s="3"/>
      <c r="B204" s="3"/>
      <c r="C204" s="3"/>
      <c r="D204" s="3"/>
      <c r="E204" s="4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4"/>
      <c r="R204" s="3"/>
      <c r="S204" s="3"/>
      <c r="T204" s="3"/>
      <c r="U204" s="3"/>
    </row>
    <row r="205">
      <c r="A205" s="3"/>
      <c r="B205" s="3"/>
      <c r="C205" s="3"/>
      <c r="D205" s="3"/>
      <c r="E205" s="4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4"/>
      <c r="R205" s="3"/>
      <c r="S205" s="3"/>
      <c r="T205" s="3"/>
      <c r="U205" s="3"/>
    </row>
    <row r="206">
      <c r="A206" s="3"/>
      <c r="B206" s="3"/>
      <c r="C206" s="3"/>
      <c r="D206" s="3"/>
      <c r="E206" s="4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4"/>
      <c r="R206" s="3"/>
      <c r="S206" s="3"/>
      <c r="T206" s="3"/>
      <c r="U206" s="3"/>
    </row>
    <row r="207">
      <c r="A207" s="3"/>
      <c r="B207" s="3"/>
      <c r="C207" s="3"/>
      <c r="D207" s="3"/>
      <c r="E207" s="4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4"/>
      <c r="R207" s="3"/>
      <c r="S207" s="3"/>
      <c r="T207" s="3"/>
      <c r="U207" s="3"/>
    </row>
    <row r="208">
      <c r="A208" s="3"/>
      <c r="B208" s="3"/>
      <c r="C208" s="3"/>
      <c r="D208" s="3"/>
      <c r="E208" s="4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4"/>
      <c r="R208" s="3"/>
      <c r="S208" s="3"/>
      <c r="T208" s="3"/>
      <c r="U208" s="3"/>
    </row>
    <row r="209">
      <c r="A209" s="3"/>
      <c r="B209" s="3"/>
      <c r="C209" s="3"/>
      <c r="D209" s="3"/>
      <c r="E209" s="4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4"/>
      <c r="R209" s="3"/>
      <c r="S209" s="3"/>
      <c r="T209" s="3"/>
      <c r="U209" s="3"/>
    </row>
    <row r="210">
      <c r="A210" s="3"/>
      <c r="B210" s="3"/>
      <c r="C210" s="3"/>
      <c r="D210" s="3"/>
      <c r="E210" s="4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4"/>
      <c r="R210" s="3"/>
      <c r="S210" s="3"/>
      <c r="T210" s="3"/>
      <c r="U210" s="3"/>
    </row>
    <row r="211">
      <c r="A211" s="3"/>
      <c r="B211" s="3"/>
      <c r="C211" s="3"/>
      <c r="D211" s="3"/>
      <c r="E211" s="4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4"/>
      <c r="R211" s="3"/>
      <c r="S211" s="3"/>
      <c r="T211" s="3"/>
      <c r="U211" s="3"/>
    </row>
    <row r="212">
      <c r="A212" s="3"/>
      <c r="B212" s="3"/>
      <c r="C212" s="3"/>
      <c r="D212" s="3"/>
      <c r="E212" s="4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4"/>
      <c r="R212" s="3"/>
      <c r="S212" s="3"/>
      <c r="T212" s="3"/>
      <c r="U212" s="3"/>
    </row>
    <row r="213">
      <c r="A213" s="3"/>
      <c r="B213" s="3"/>
      <c r="C213" s="3"/>
      <c r="D213" s="3"/>
      <c r="E213" s="4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4"/>
      <c r="R213" s="3"/>
      <c r="S213" s="3"/>
      <c r="T213" s="3"/>
      <c r="U213" s="3"/>
    </row>
    <row r="214">
      <c r="A214" s="3"/>
      <c r="B214" s="3"/>
      <c r="C214" s="3"/>
      <c r="D214" s="3"/>
      <c r="E214" s="4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4"/>
      <c r="R214" s="3"/>
      <c r="S214" s="3"/>
      <c r="T214" s="3"/>
      <c r="U214" s="3"/>
    </row>
    <row r="215">
      <c r="A215" s="3"/>
      <c r="B215" s="3"/>
      <c r="C215" s="3"/>
      <c r="D215" s="3"/>
      <c r="E215" s="4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4"/>
      <c r="R215" s="3"/>
      <c r="S215" s="3"/>
      <c r="T215" s="3"/>
      <c r="U215" s="3"/>
    </row>
    <row r="216">
      <c r="A216" s="3"/>
      <c r="B216" s="3"/>
      <c r="C216" s="3"/>
      <c r="D216" s="3"/>
      <c r="E216" s="4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4"/>
      <c r="R216" s="3"/>
      <c r="S216" s="3"/>
      <c r="T216" s="3"/>
      <c r="U216" s="3"/>
    </row>
    <row r="217">
      <c r="A217" s="3"/>
      <c r="B217" s="3"/>
      <c r="C217" s="3"/>
      <c r="D217" s="3"/>
      <c r="E217" s="4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4"/>
      <c r="R217" s="3"/>
      <c r="S217" s="3"/>
      <c r="T217" s="3"/>
      <c r="U217" s="3"/>
    </row>
    <row r="218">
      <c r="A218" s="3"/>
      <c r="B218" s="3"/>
      <c r="C218" s="3"/>
      <c r="D218" s="3"/>
      <c r="E218" s="4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4"/>
      <c r="R218" s="3"/>
      <c r="S218" s="3"/>
      <c r="T218" s="3"/>
      <c r="U218" s="3"/>
    </row>
    <row r="219">
      <c r="A219" s="3"/>
      <c r="B219" s="3"/>
      <c r="C219" s="3"/>
      <c r="D219" s="3"/>
      <c r="E219" s="4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4"/>
      <c r="R219" s="3"/>
      <c r="S219" s="3"/>
      <c r="T219" s="3"/>
      <c r="U219" s="3"/>
    </row>
    <row r="220">
      <c r="A220" s="3"/>
      <c r="B220" s="3"/>
      <c r="C220" s="3"/>
      <c r="D220" s="3"/>
      <c r="E220" s="4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4"/>
      <c r="R220" s="3"/>
      <c r="S220" s="3"/>
      <c r="T220" s="3"/>
      <c r="U220" s="3"/>
    </row>
    <row r="221">
      <c r="A221" s="3"/>
      <c r="B221" s="3"/>
      <c r="C221" s="3"/>
      <c r="D221" s="3"/>
      <c r="E221" s="4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4"/>
      <c r="R221" s="3"/>
      <c r="S221" s="3"/>
      <c r="T221" s="3"/>
      <c r="U221" s="3"/>
    </row>
    <row r="222">
      <c r="A222" s="3"/>
      <c r="B222" s="3"/>
      <c r="C222" s="3"/>
      <c r="D222" s="3"/>
      <c r="E222" s="4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4"/>
      <c r="R222" s="3"/>
      <c r="S222" s="3"/>
      <c r="T222" s="3"/>
      <c r="U222" s="3"/>
    </row>
    <row r="223">
      <c r="A223" s="3"/>
      <c r="B223" s="3"/>
      <c r="C223" s="3"/>
      <c r="D223" s="3"/>
      <c r="E223" s="4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4"/>
      <c r="R223" s="3"/>
      <c r="S223" s="3"/>
      <c r="T223" s="3"/>
      <c r="U223" s="3"/>
    </row>
    <row r="224">
      <c r="A224" s="3"/>
      <c r="B224" s="3"/>
      <c r="C224" s="3"/>
      <c r="D224" s="3"/>
      <c r="E224" s="4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4"/>
      <c r="R224" s="3"/>
      <c r="S224" s="3"/>
      <c r="T224" s="3"/>
      <c r="U224" s="3"/>
    </row>
    <row r="225">
      <c r="A225" s="3"/>
      <c r="B225" s="3"/>
      <c r="C225" s="3"/>
      <c r="D225" s="3"/>
      <c r="E225" s="4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4"/>
      <c r="R225" s="3"/>
      <c r="S225" s="3"/>
      <c r="T225" s="3"/>
      <c r="U225" s="3"/>
    </row>
    <row r="226">
      <c r="A226" s="3"/>
      <c r="B226" s="3"/>
      <c r="C226" s="3"/>
      <c r="D226" s="3"/>
      <c r="E226" s="4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4"/>
      <c r="R226" s="3"/>
      <c r="S226" s="3"/>
      <c r="T226" s="3"/>
      <c r="U226" s="3"/>
    </row>
    <row r="227">
      <c r="A227" s="3"/>
      <c r="B227" s="3"/>
      <c r="C227" s="3"/>
      <c r="D227" s="3"/>
      <c r="E227" s="4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4"/>
      <c r="R227" s="3"/>
      <c r="S227" s="3"/>
      <c r="T227" s="3"/>
      <c r="U227" s="3"/>
    </row>
    <row r="228">
      <c r="A228" s="3"/>
      <c r="B228" s="3"/>
      <c r="C228" s="3"/>
      <c r="D228" s="3"/>
      <c r="E228" s="4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4"/>
      <c r="R228" s="3"/>
      <c r="S228" s="3"/>
      <c r="T228" s="3"/>
      <c r="U228" s="3"/>
    </row>
    <row r="229">
      <c r="A229" s="3"/>
      <c r="B229" s="3"/>
      <c r="C229" s="3"/>
      <c r="D229" s="3"/>
      <c r="E229" s="4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4"/>
      <c r="R229" s="3"/>
      <c r="S229" s="3"/>
      <c r="T229" s="3"/>
      <c r="U229" s="3"/>
    </row>
    <row r="230">
      <c r="A230" s="3"/>
      <c r="B230" s="3"/>
      <c r="C230" s="3"/>
      <c r="D230" s="3"/>
      <c r="E230" s="4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4"/>
      <c r="R230" s="3"/>
      <c r="S230" s="3"/>
      <c r="T230" s="3"/>
      <c r="U230" s="3"/>
    </row>
    <row r="231">
      <c r="A231" s="3"/>
      <c r="B231" s="3"/>
      <c r="C231" s="3"/>
      <c r="D231" s="3"/>
      <c r="E231" s="4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4"/>
      <c r="R231" s="3"/>
      <c r="S231" s="3"/>
      <c r="T231" s="3"/>
      <c r="U231" s="3"/>
    </row>
    <row r="232">
      <c r="A232" s="3"/>
      <c r="B232" s="3"/>
      <c r="C232" s="3"/>
      <c r="D232" s="3"/>
      <c r="E232" s="4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4"/>
      <c r="R232" s="3"/>
      <c r="S232" s="3"/>
      <c r="T232" s="3"/>
      <c r="U232" s="3"/>
    </row>
    <row r="233">
      <c r="A233" s="3"/>
      <c r="B233" s="3"/>
      <c r="C233" s="3"/>
      <c r="D233" s="3"/>
      <c r="E233" s="4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4"/>
      <c r="R233" s="3"/>
      <c r="S233" s="3"/>
      <c r="T233" s="3"/>
      <c r="U233" s="3"/>
    </row>
    <row r="234">
      <c r="A234" s="3"/>
      <c r="B234" s="3"/>
      <c r="C234" s="3"/>
      <c r="D234" s="3"/>
      <c r="E234" s="4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4"/>
      <c r="R234" s="3"/>
      <c r="S234" s="3"/>
      <c r="T234" s="3"/>
      <c r="U234" s="3"/>
    </row>
    <row r="235">
      <c r="A235" s="3"/>
      <c r="B235" s="3"/>
      <c r="C235" s="3"/>
      <c r="D235" s="3"/>
      <c r="E235" s="4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4"/>
      <c r="R235" s="3"/>
      <c r="S235" s="3"/>
      <c r="T235" s="3"/>
      <c r="U235" s="3"/>
    </row>
    <row r="236">
      <c r="A236" s="3"/>
      <c r="B236" s="3"/>
      <c r="C236" s="3"/>
      <c r="D236" s="3"/>
      <c r="E236" s="4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4"/>
      <c r="R236" s="3"/>
      <c r="S236" s="3"/>
      <c r="T236" s="3"/>
      <c r="U236" s="3"/>
    </row>
    <row r="237">
      <c r="A237" s="3"/>
      <c r="B237" s="3"/>
      <c r="C237" s="3"/>
      <c r="D237" s="3"/>
      <c r="E237" s="4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4"/>
      <c r="R237" s="3"/>
      <c r="S237" s="3"/>
      <c r="T237" s="3"/>
      <c r="U237" s="3"/>
    </row>
    <row r="238">
      <c r="A238" s="3"/>
      <c r="B238" s="3"/>
      <c r="C238" s="3"/>
      <c r="D238" s="3"/>
      <c r="E238" s="4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4"/>
      <c r="R238" s="3"/>
      <c r="S238" s="3"/>
      <c r="T238" s="3"/>
      <c r="U238" s="3"/>
    </row>
    <row r="239">
      <c r="A239" s="3"/>
      <c r="B239" s="3"/>
      <c r="C239" s="3"/>
      <c r="D239" s="3"/>
      <c r="E239" s="4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4"/>
      <c r="R239" s="3"/>
      <c r="S239" s="3"/>
      <c r="T239" s="3"/>
      <c r="U239" s="3"/>
    </row>
    <row r="240">
      <c r="A240" s="3"/>
      <c r="B240" s="3"/>
      <c r="C240" s="3"/>
      <c r="D240" s="3"/>
      <c r="E240" s="4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4"/>
      <c r="R240" s="3"/>
      <c r="S240" s="3"/>
      <c r="T240" s="3"/>
      <c r="U240" s="3"/>
    </row>
    <row r="241">
      <c r="A241" s="3"/>
      <c r="B241" s="3"/>
      <c r="C241" s="3"/>
      <c r="D241" s="3"/>
      <c r="E241" s="4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4"/>
      <c r="R241" s="3"/>
      <c r="S241" s="3"/>
      <c r="T241" s="3"/>
      <c r="U241" s="3"/>
    </row>
    <row r="242">
      <c r="A242" s="3"/>
      <c r="B242" s="3"/>
      <c r="C242" s="3"/>
      <c r="D242" s="3"/>
      <c r="E242" s="4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4"/>
      <c r="R242" s="3"/>
      <c r="S242" s="3"/>
      <c r="T242" s="3"/>
      <c r="U242" s="3"/>
    </row>
    <row r="243">
      <c r="A243" s="3"/>
      <c r="B243" s="3"/>
      <c r="C243" s="3"/>
      <c r="D243" s="3"/>
      <c r="E243" s="4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4"/>
      <c r="R243" s="3"/>
      <c r="S243" s="3"/>
      <c r="T243" s="3"/>
      <c r="U243" s="3"/>
    </row>
    <row r="244">
      <c r="A244" s="3"/>
      <c r="B244" s="3"/>
      <c r="C244" s="3"/>
      <c r="D244" s="3"/>
      <c r="E244" s="4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4"/>
      <c r="R244" s="3"/>
      <c r="S244" s="3"/>
      <c r="T244" s="3"/>
      <c r="U244" s="3"/>
    </row>
    <row r="245">
      <c r="A245" s="3"/>
      <c r="B245" s="3"/>
      <c r="C245" s="3"/>
      <c r="D245" s="3"/>
      <c r="E245" s="4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4"/>
      <c r="R245" s="3"/>
      <c r="S245" s="3"/>
      <c r="T245" s="3"/>
      <c r="U245" s="3"/>
    </row>
    <row r="246">
      <c r="A246" s="3"/>
      <c r="B246" s="3"/>
      <c r="C246" s="3"/>
      <c r="D246" s="3"/>
      <c r="E246" s="4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4"/>
      <c r="R246" s="3"/>
      <c r="S246" s="3"/>
      <c r="T246" s="3"/>
      <c r="U246" s="3"/>
    </row>
    <row r="247">
      <c r="A247" s="3"/>
      <c r="B247" s="3"/>
      <c r="C247" s="3"/>
      <c r="D247" s="3"/>
      <c r="E247" s="4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4"/>
      <c r="R247" s="3"/>
      <c r="S247" s="3"/>
      <c r="T247" s="3"/>
      <c r="U247" s="3"/>
    </row>
    <row r="248">
      <c r="A248" s="3"/>
      <c r="B248" s="3"/>
      <c r="C248" s="3"/>
      <c r="D248" s="3"/>
      <c r="E248" s="4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4"/>
      <c r="R248" s="3"/>
      <c r="S248" s="3"/>
      <c r="T248" s="3"/>
      <c r="U248" s="3"/>
    </row>
    <row r="249">
      <c r="A249" s="3"/>
      <c r="B249" s="3"/>
      <c r="C249" s="3"/>
      <c r="D249" s="3"/>
      <c r="E249" s="4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4"/>
      <c r="R249" s="3"/>
      <c r="S249" s="3"/>
      <c r="T249" s="3"/>
      <c r="U249" s="3"/>
    </row>
    <row r="250">
      <c r="A250" s="3"/>
      <c r="B250" s="3"/>
      <c r="C250" s="3"/>
      <c r="D250" s="3"/>
      <c r="E250" s="4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4"/>
      <c r="R250" s="3"/>
      <c r="S250" s="3"/>
      <c r="T250" s="3"/>
      <c r="U250" s="3"/>
    </row>
    <row r="251">
      <c r="A251" s="3"/>
      <c r="B251" s="3"/>
      <c r="C251" s="3"/>
      <c r="D251" s="3"/>
      <c r="E251" s="4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4"/>
      <c r="R251" s="3"/>
      <c r="S251" s="3"/>
      <c r="T251" s="3"/>
      <c r="U251" s="3"/>
    </row>
    <row r="252">
      <c r="A252" s="3"/>
      <c r="B252" s="3"/>
      <c r="C252" s="3"/>
      <c r="D252" s="3"/>
      <c r="E252" s="4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4"/>
      <c r="R252" s="3"/>
      <c r="S252" s="3"/>
      <c r="T252" s="3"/>
      <c r="U252" s="3"/>
    </row>
    <row r="253">
      <c r="A253" s="3"/>
      <c r="B253" s="3"/>
      <c r="C253" s="3"/>
      <c r="D253" s="3"/>
      <c r="E253" s="4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4"/>
      <c r="R253" s="3"/>
      <c r="S253" s="3"/>
      <c r="T253" s="3"/>
      <c r="U253" s="3"/>
    </row>
    <row r="254">
      <c r="A254" s="3"/>
      <c r="B254" s="3"/>
      <c r="C254" s="3"/>
      <c r="D254" s="3"/>
      <c r="E254" s="4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4"/>
      <c r="R254" s="3"/>
      <c r="S254" s="3"/>
      <c r="T254" s="3"/>
      <c r="U254" s="3"/>
    </row>
    <row r="255">
      <c r="A255" s="3"/>
      <c r="B255" s="3"/>
      <c r="C255" s="3"/>
      <c r="D255" s="3"/>
      <c r="E255" s="4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4"/>
      <c r="R255" s="3"/>
      <c r="S255" s="3"/>
      <c r="T255" s="3"/>
      <c r="U255" s="3"/>
    </row>
    <row r="256">
      <c r="A256" s="3"/>
      <c r="B256" s="3"/>
      <c r="C256" s="3"/>
      <c r="D256" s="3"/>
      <c r="E256" s="4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4"/>
      <c r="R256" s="3"/>
      <c r="S256" s="3"/>
      <c r="T256" s="3"/>
      <c r="U256" s="3"/>
    </row>
    <row r="257">
      <c r="A257" s="3"/>
      <c r="B257" s="3"/>
      <c r="C257" s="3"/>
      <c r="D257" s="3"/>
      <c r="E257" s="4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4"/>
      <c r="R257" s="3"/>
      <c r="S257" s="3"/>
      <c r="T257" s="3"/>
      <c r="U257" s="3"/>
    </row>
    <row r="258">
      <c r="A258" s="3"/>
      <c r="B258" s="3"/>
      <c r="C258" s="3"/>
      <c r="D258" s="3"/>
      <c r="E258" s="4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4"/>
      <c r="R258" s="3"/>
      <c r="S258" s="3"/>
      <c r="T258" s="3"/>
      <c r="U258" s="3"/>
    </row>
    <row r="259">
      <c r="A259" s="3"/>
      <c r="B259" s="3"/>
      <c r="C259" s="3"/>
      <c r="D259" s="3"/>
      <c r="E259" s="4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4"/>
      <c r="R259" s="3"/>
      <c r="S259" s="3"/>
      <c r="T259" s="3"/>
      <c r="U259" s="3"/>
    </row>
    <row r="260">
      <c r="A260" s="3"/>
      <c r="B260" s="3"/>
      <c r="C260" s="3"/>
      <c r="D260" s="3"/>
      <c r="E260" s="4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4"/>
      <c r="R260" s="3"/>
      <c r="S260" s="3"/>
      <c r="T260" s="3"/>
      <c r="U260" s="3"/>
    </row>
    <row r="261">
      <c r="A261" s="3"/>
      <c r="B261" s="3"/>
      <c r="C261" s="3"/>
      <c r="D261" s="3"/>
      <c r="E261" s="4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4"/>
      <c r="R261" s="3"/>
      <c r="S261" s="3"/>
      <c r="T261" s="3"/>
      <c r="U261" s="3"/>
    </row>
    <row r="262">
      <c r="A262" s="3"/>
      <c r="B262" s="3"/>
      <c r="C262" s="3"/>
      <c r="D262" s="3"/>
      <c r="E262" s="4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4"/>
      <c r="R262" s="3"/>
      <c r="S262" s="3"/>
      <c r="T262" s="3"/>
      <c r="U262" s="3"/>
    </row>
    <row r="263">
      <c r="A263" s="3"/>
      <c r="B263" s="3"/>
      <c r="C263" s="3"/>
      <c r="D263" s="3"/>
      <c r="E263" s="4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4"/>
      <c r="R263" s="3"/>
      <c r="S263" s="3"/>
      <c r="T263" s="3"/>
      <c r="U263" s="3"/>
    </row>
    <row r="264">
      <c r="A264" s="3"/>
      <c r="B264" s="3"/>
      <c r="C264" s="3"/>
      <c r="D264" s="3"/>
      <c r="E264" s="4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4"/>
      <c r="R264" s="3"/>
      <c r="S264" s="3"/>
      <c r="T264" s="3"/>
      <c r="U264" s="3"/>
    </row>
    <row r="265">
      <c r="A265" s="3"/>
      <c r="B265" s="3"/>
      <c r="C265" s="3"/>
      <c r="D265" s="3"/>
      <c r="E265" s="4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4"/>
      <c r="R265" s="3"/>
      <c r="S265" s="3"/>
      <c r="T265" s="3"/>
      <c r="U265" s="3"/>
    </row>
    <row r="266">
      <c r="A266" s="3"/>
      <c r="B266" s="3"/>
      <c r="C266" s="3"/>
      <c r="D266" s="3"/>
      <c r="E266" s="4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4"/>
      <c r="R266" s="3"/>
      <c r="S266" s="3"/>
      <c r="T266" s="3"/>
      <c r="U266" s="3"/>
    </row>
    <row r="267">
      <c r="A267" s="3"/>
      <c r="B267" s="3"/>
      <c r="C267" s="3"/>
      <c r="D267" s="3"/>
      <c r="E267" s="4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4"/>
      <c r="R267" s="3"/>
      <c r="S267" s="3"/>
      <c r="T267" s="3"/>
      <c r="U267" s="3"/>
    </row>
    <row r="268">
      <c r="A268" s="3"/>
      <c r="B268" s="3"/>
      <c r="C268" s="3"/>
      <c r="D268" s="3"/>
      <c r="E268" s="4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4"/>
      <c r="R268" s="3"/>
      <c r="S268" s="3"/>
      <c r="T268" s="3"/>
      <c r="U268" s="3"/>
    </row>
    <row r="269">
      <c r="A269" s="3"/>
      <c r="B269" s="3"/>
      <c r="C269" s="3"/>
      <c r="D269" s="3"/>
      <c r="E269" s="4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4"/>
      <c r="R269" s="3"/>
      <c r="S269" s="3"/>
      <c r="T269" s="3"/>
      <c r="U269" s="3"/>
    </row>
    <row r="270">
      <c r="A270" s="3"/>
      <c r="B270" s="3"/>
      <c r="C270" s="3"/>
      <c r="D270" s="3"/>
      <c r="E270" s="4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4"/>
      <c r="R270" s="3"/>
      <c r="S270" s="3"/>
      <c r="T270" s="3"/>
      <c r="U270" s="3"/>
    </row>
    <row r="271">
      <c r="A271" s="3"/>
      <c r="B271" s="3"/>
      <c r="C271" s="3"/>
      <c r="D271" s="3"/>
      <c r="E271" s="4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4"/>
      <c r="R271" s="3"/>
      <c r="S271" s="3"/>
      <c r="T271" s="3"/>
      <c r="U271" s="3"/>
    </row>
    <row r="272">
      <c r="A272" s="3"/>
      <c r="B272" s="3"/>
      <c r="C272" s="3"/>
      <c r="D272" s="3"/>
      <c r="E272" s="4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4"/>
      <c r="R272" s="3"/>
      <c r="S272" s="3"/>
      <c r="T272" s="3"/>
      <c r="U272" s="3"/>
    </row>
    <row r="273">
      <c r="A273" s="3"/>
      <c r="B273" s="3"/>
      <c r="C273" s="3"/>
      <c r="D273" s="3"/>
      <c r="E273" s="4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4"/>
      <c r="R273" s="3"/>
      <c r="S273" s="3"/>
      <c r="T273" s="3"/>
      <c r="U273" s="3"/>
    </row>
    <row r="274">
      <c r="A274" s="3"/>
      <c r="B274" s="3"/>
      <c r="C274" s="3"/>
      <c r="D274" s="3"/>
      <c r="E274" s="4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4"/>
      <c r="R274" s="3"/>
      <c r="S274" s="3"/>
      <c r="T274" s="3"/>
      <c r="U274" s="3"/>
    </row>
    <row r="275">
      <c r="A275" s="3"/>
      <c r="B275" s="3"/>
      <c r="C275" s="3"/>
      <c r="D275" s="3"/>
      <c r="E275" s="4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4"/>
      <c r="R275" s="3"/>
      <c r="S275" s="3"/>
      <c r="T275" s="3"/>
      <c r="U275" s="3"/>
    </row>
    <row r="276">
      <c r="A276" s="3"/>
      <c r="B276" s="3"/>
      <c r="C276" s="3"/>
      <c r="D276" s="3"/>
      <c r="E276" s="4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4"/>
      <c r="R276" s="3"/>
      <c r="S276" s="3"/>
      <c r="T276" s="3"/>
      <c r="U276" s="3"/>
    </row>
    <row r="277">
      <c r="A277" s="3"/>
      <c r="B277" s="3"/>
      <c r="C277" s="3"/>
      <c r="D277" s="3"/>
      <c r="E277" s="4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4"/>
      <c r="R277" s="3"/>
      <c r="S277" s="3"/>
      <c r="T277" s="3"/>
      <c r="U277" s="3"/>
    </row>
    <row r="278">
      <c r="A278" s="3"/>
      <c r="B278" s="3"/>
      <c r="C278" s="3"/>
      <c r="D278" s="3"/>
      <c r="E278" s="4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4"/>
      <c r="R278" s="3"/>
      <c r="S278" s="3"/>
      <c r="T278" s="3"/>
      <c r="U278" s="3"/>
    </row>
    <row r="279">
      <c r="A279" s="3"/>
      <c r="B279" s="3"/>
      <c r="C279" s="3"/>
      <c r="D279" s="3"/>
      <c r="E279" s="4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4"/>
      <c r="R279" s="3"/>
      <c r="S279" s="3"/>
      <c r="T279" s="3"/>
      <c r="U279" s="3"/>
    </row>
    <row r="280">
      <c r="A280" s="3"/>
      <c r="B280" s="3"/>
      <c r="C280" s="3"/>
      <c r="D280" s="3"/>
      <c r="E280" s="4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4"/>
      <c r="R280" s="3"/>
      <c r="S280" s="3"/>
      <c r="T280" s="3"/>
      <c r="U280" s="3"/>
    </row>
    <row r="281">
      <c r="A281" s="3"/>
      <c r="B281" s="3"/>
      <c r="C281" s="3"/>
      <c r="D281" s="3"/>
      <c r="E281" s="4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4"/>
      <c r="R281" s="3"/>
      <c r="S281" s="3"/>
      <c r="T281" s="3"/>
      <c r="U281" s="3"/>
    </row>
    <row r="282">
      <c r="A282" s="3"/>
      <c r="B282" s="3"/>
      <c r="C282" s="3"/>
      <c r="D282" s="3"/>
      <c r="E282" s="4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4"/>
      <c r="R282" s="3"/>
      <c r="S282" s="3"/>
      <c r="T282" s="3"/>
      <c r="U282" s="3"/>
    </row>
    <row r="283">
      <c r="A283" s="3"/>
      <c r="B283" s="3"/>
      <c r="C283" s="3"/>
      <c r="D283" s="3"/>
      <c r="E283" s="4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4"/>
      <c r="R283" s="3"/>
      <c r="S283" s="3"/>
      <c r="T283" s="3"/>
      <c r="U283" s="3"/>
    </row>
    <row r="284">
      <c r="A284" s="3"/>
      <c r="B284" s="3"/>
      <c r="C284" s="3"/>
      <c r="D284" s="3"/>
      <c r="E284" s="4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4"/>
      <c r="R284" s="3"/>
      <c r="S284" s="3"/>
      <c r="T284" s="3"/>
      <c r="U284" s="3"/>
    </row>
    <row r="285">
      <c r="A285" s="3"/>
      <c r="B285" s="3"/>
      <c r="C285" s="3"/>
      <c r="D285" s="3"/>
      <c r="E285" s="4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4"/>
      <c r="R285" s="3"/>
      <c r="S285" s="3"/>
      <c r="T285" s="3"/>
      <c r="U285" s="3"/>
    </row>
    <row r="286">
      <c r="A286" s="3"/>
      <c r="B286" s="3"/>
      <c r="C286" s="3"/>
      <c r="D286" s="3"/>
      <c r="E286" s="4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4"/>
      <c r="R286" s="3"/>
      <c r="S286" s="3"/>
      <c r="T286" s="3"/>
      <c r="U286" s="3"/>
    </row>
    <row r="287">
      <c r="A287" s="3"/>
      <c r="B287" s="3"/>
      <c r="C287" s="3"/>
      <c r="D287" s="3"/>
      <c r="E287" s="4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4"/>
      <c r="R287" s="3"/>
      <c r="S287" s="3"/>
      <c r="T287" s="3"/>
      <c r="U287" s="3"/>
    </row>
    <row r="288">
      <c r="A288" s="3"/>
      <c r="B288" s="3"/>
      <c r="C288" s="3"/>
      <c r="D288" s="3"/>
      <c r="E288" s="4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4"/>
      <c r="R288" s="3"/>
      <c r="S288" s="3"/>
      <c r="T288" s="3"/>
      <c r="U288" s="3"/>
    </row>
    <row r="289">
      <c r="A289" s="3"/>
      <c r="B289" s="3"/>
      <c r="C289" s="3"/>
      <c r="D289" s="3"/>
      <c r="E289" s="4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4"/>
      <c r="R289" s="3"/>
      <c r="S289" s="3"/>
      <c r="T289" s="3"/>
      <c r="U289" s="3"/>
    </row>
    <row r="290">
      <c r="A290" s="3"/>
      <c r="B290" s="3"/>
      <c r="C290" s="3"/>
      <c r="D290" s="3"/>
      <c r="E290" s="4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4"/>
      <c r="R290" s="3"/>
      <c r="S290" s="3"/>
      <c r="T290" s="3"/>
      <c r="U290" s="3"/>
    </row>
    <row r="291">
      <c r="A291" s="3"/>
      <c r="B291" s="3"/>
      <c r="C291" s="3"/>
      <c r="D291" s="3"/>
      <c r="E291" s="4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4"/>
      <c r="R291" s="3"/>
      <c r="S291" s="3"/>
      <c r="T291" s="3"/>
      <c r="U291" s="3"/>
    </row>
    <row r="292">
      <c r="A292" s="3"/>
      <c r="B292" s="3"/>
      <c r="C292" s="3"/>
      <c r="D292" s="3"/>
      <c r="E292" s="4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4"/>
      <c r="R292" s="3"/>
      <c r="S292" s="3"/>
      <c r="T292" s="3"/>
      <c r="U292" s="3"/>
    </row>
    <row r="293">
      <c r="A293" s="3"/>
      <c r="B293" s="3"/>
      <c r="C293" s="3"/>
      <c r="D293" s="3"/>
      <c r="E293" s="4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4"/>
      <c r="R293" s="3"/>
      <c r="S293" s="3"/>
      <c r="T293" s="3"/>
      <c r="U293" s="3"/>
    </row>
    <row r="294">
      <c r="A294" s="3"/>
      <c r="B294" s="3"/>
      <c r="C294" s="3"/>
      <c r="D294" s="3"/>
      <c r="E294" s="4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4"/>
      <c r="R294" s="3"/>
      <c r="S294" s="3"/>
      <c r="T294" s="3"/>
      <c r="U294" s="3"/>
    </row>
    <row r="295">
      <c r="A295" s="3"/>
      <c r="B295" s="3"/>
      <c r="C295" s="3"/>
      <c r="D295" s="3"/>
      <c r="E295" s="4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4"/>
      <c r="R295" s="3"/>
      <c r="S295" s="3"/>
      <c r="T295" s="3"/>
      <c r="U295" s="3"/>
    </row>
    <row r="296">
      <c r="A296" s="3"/>
      <c r="B296" s="3"/>
      <c r="C296" s="3"/>
      <c r="D296" s="3"/>
      <c r="E296" s="4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4"/>
      <c r="R296" s="3"/>
      <c r="S296" s="3"/>
      <c r="T296" s="3"/>
      <c r="U296" s="3"/>
    </row>
    <row r="297">
      <c r="A297" s="3"/>
      <c r="B297" s="3"/>
      <c r="C297" s="3"/>
      <c r="D297" s="3"/>
      <c r="E297" s="4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4"/>
      <c r="R297" s="3"/>
      <c r="S297" s="3"/>
      <c r="T297" s="3"/>
      <c r="U297" s="3"/>
    </row>
    <row r="298">
      <c r="A298" s="3"/>
      <c r="B298" s="3"/>
      <c r="C298" s="3"/>
      <c r="D298" s="3"/>
      <c r="E298" s="4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4"/>
      <c r="R298" s="3"/>
      <c r="S298" s="3"/>
      <c r="T298" s="3"/>
      <c r="U298" s="3"/>
    </row>
    <row r="299">
      <c r="A299" s="3"/>
      <c r="B299" s="3"/>
      <c r="C299" s="3"/>
      <c r="D299" s="3"/>
      <c r="E299" s="4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4"/>
      <c r="R299" s="3"/>
      <c r="S299" s="3"/>
      <c r="T299" s="3"/>
      <c r="U299" s="3"/>
    </row>
    <row r="300">
      <c r="A300" s="3"/>
      <c r="B300" s="3"/>
      <c r="C300" s="3"/>
      <c r="D300" s="3"/>
      <c r="E300" s="4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4"/>
      <c r="R300" s="3"/>
      <c r="S300" s="3"/>
      <c r="T300" s="3"/>
      <c r="U300" s="3"/>
    </row>
    <row r="301">
      <c r="A301" s="3"/>
      <c r="B301" s="3"/>
      <c r="C301" s="3"/>
      <c r="D301" s="3"/>
      <c r="E301" s="4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4"/>
      <c r="R301" s="3"/>
      <c r="S301" s="3"/>
      <c r="T301" s="3"/>
      <c r="U301" s="3"/>
    </row>
    <row r="302">
      <c r="A302" s="3"/>
      <c r="B302" s="3"/>
      <c r="C302" s="3"/>
      <c r="D302" s="3"/>
      <c r="E302" s="4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4"/>
      <c r="R302" s="3"/>
      <c r="S302" s="3"/>
      <c r="T302" s="3"/>
      <c r="U302" s="3"/>
    </row>
    <row r="303">
      <c r="A303" s="3"/>
      <c r="B303" s="3"/>
      <c r="C303" s="3"/>
      <c r="D303" s="3"/>
      <c r="E303" s="4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4"/>
      <c r="R303" s="3"/>
      <c r="S303" s="3"/>
      <c r="T303" s="3"/>
      <c r="U303" s="3"/>
    </row>
    <row r="304">
      <c r="A304" s="3"/>
      <c r="B304" s="3"/>
      <c r="C304" s="3"/>
      <c r="D304" s="3"/>
      <c r="E304" s="4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4"/>
      <c r="R304" s="3"/>
      <c r="S304" s="3"/>
      <c r="T304" s="3"/>
      <c r="U304" s="3"/>
    </row>
    <row r="305">
      <c r="A305" s="3"/>
      <c r="B305" s="3"/>
      <c r="C305" s="3"/>
      <c r="D305" s="3"/>
      <c r="E305" s="4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4"/>
      <c r="R305" s="3"/>
      <c r="S305" s="3"/>
      <c r="T305" s="3"/>
      <c r="U305" s="3"/>
    </row>
    <row r="306">
      <c r="A306" s="3"/>
      <c r="B306" s="3"/>
      <c r="C306" s="3"/>
      <c r="D306" s="3"/>
      <c r="E306" s="4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4"/>
      <c r="R306" s="3"/>
      <c r="S306" s="3"/>
      <c r="T306" s="3"/>
      <c r="U306" s="3"/>
    </row>
    <row r="307">
      <c r="A307" s="3"/>
      <c r="B307" s="3"/>
      <c r="C307" s="3"/>
      <c r="D307" s="3"/>
      <c r="E307" s="4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4"/>
      <c r="R307" s="3"/>
      <c r="S307" s="3"/>
      <c r="T307" s="3"/>
      <c r="U307" s="3"/>
    </row>
    <row r="308">
      <c r="A308" s="3"/>
      <c r="B308" s="3"/>
      <c r="C308" s="3"/>
      <c r="D308" s="3"/>
      <c r="E308" s="4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4"/>
      <c r="R308" s="3"/>
      <c r="S308" s="3"/>
      <c r="T308" s="3"/>
      <c r="U308" s="3"/>
    </row>
    <row r="309">
      <c r="A309" s="3"/>
      <c r="B309" s="3"/>
      <c r="C309" s="3"/>
      <c r="D309" s="3"/>
      <c r="E309" s="4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4"/>
      <c r="R309" s="3"/>
      <c r="S309" s="3"/>
      <c r="T309" s="3"/>
      <c r="U309" s="3"/>
    </row>
    <row r="310">
      <c r="A310" s="3"/>
      <c r="B310" s="3"/>
      <c r="C310" s="3"/>
      <c r="D310" s="3"/>
      <c r="E310" s="4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4"/>
      <c r="R310" s="3"/>
      <c r="S310" s="3"/>
      <c r="T310" s="3"/>
      <c r="U310" s="3"/>
    </row>
    <row r="311">
      <c r="A311" s="3"/>
      <c r="B311" s="3"/>
      <c r="C311" s="3"/>
      <c r="D311" s="3"/>
      <c r="E311" s="4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4"/>
      <c r="R311" s="3"/>
      <c r="S311" s="3"/>
      <c r="T311" s="3"/>
      <c r="U311" s="3"/>
    </row>
    <row r="312">
      <c r="A312" s="3"/>
      <c r="B312" s="3"/>
      <c r="C312" s="3"/>
      <c r="D312" s="3"/>
      <c r="E312" s="4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4"/>
      <c r="R312" s="3"/>
      <c r="S312" s="3"/>
      <c r="T312" s="3"/>
      <c r="U312" s="3"/>
    </row>
    <row r="313">
      <c r="A313" s="3"/>
      <c r="B313" s="3"/>
      <c r="C313" s="3"/>
      <c r="D313" s="3"/>
      <c r="E313" s="4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4"/>
      <c r="R313" s="3"/>
      <c r="S313" s="3"/>
      <c r="T313" s="3"/>
      <c r="U313" s="3"/>
    </row>
    <row r="314">
      <c r="A314" s="3"/>
      <c r="B314" s="3"/>
      <c r="C314" s="3"/>
      <c r="D314" s="3"/>
      <c r="E314" s="4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4"/>
      <c r="R314" s="3"/>
      <c r="S314" s="3"/>
      <c r="T314" s="3"/>
      <c r="U314" s="3"/>
    </row>
    <row r="315">
      <c r="A315" s="3"/>
      <c r="B315" s="3"/>
      <c r="C315" s="3"/>
      <c r="D315" s="3"/>
      <c r="E315" s="4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4"/>
      <c r="R315" s="3"/>
      <c r="S315" s="3"/>
      <c r="T315" s="3"/>
      <c r="U315" s="3"/>
    </row>
    <row r="316">
      <c r="A316" s="3"/>
      <c r="B316" s="3"/>
      <c r="C316" s="3"/>
      <c r="D316" s="3"/>
      <c r="E316" s="4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4"/>
      <c r="R316" s="3"/>
      <c r="S316" s="3"/>
      <c r="T316" s="3"/>
      <c r="U316" s="3"/>
    </row>
    <row r="317">
      <c r="A317" s="3"/>
      <c r="B317" s="3"/>
      <c r="C317" s="3"/>
      <c r="D317" s="3"/>
      <c r="E317" s="4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4"/>
      <c r="R317" s="3"/>
      <c r="S317" s="3"/>
      <c r="T317" s="3"/>
      <c r="U317" s="3"/>
    </row>
    <row r="318">
      <c r="A318" s="3"/>
      <c r="B318" s="3"/>
      <c r="C318" s="3"/>
      <c r="D318" s="3"/>
      <c r="E318" s="4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4"/>
      <c r="R318" s="3"/>
      <c r="S318" s="3"/>
      <c r="T318" s="3"/>
      <c r="U318" s="3"/>
    </row>
    <row r="319">
      <c r="A319" s="3"/>
      <c r="B319" s="3"/>
      <c r="C319" s="3"/>
      <c r="D319" s="3"/>
      <c r="E319" s="4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4"/>
      <c r="R319" s="3"/>
      <c r="S319" s="3"/>
      <c r="T319" s="3"/>
      <c r="U319" s="3"/>
    </row>
    <row r="320">
      <c r="A320" s="3"/>
      <c r="B320" s="3"/>
      <c r="C320" s="3"/>
      <c r="D320" s="3"/>
      <c r="E320" s="4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4"/>
      <c r="R320" s="3"/>
      <c r="S320" s="3"/>
      <c r="T320" s="3"/>
      <c r="U320" s="3"/>
    </row>
    <row r="321">
      <c r="A321" s="3"/>
      <c r="B321" s="3"/>
      <c r="C321" s="3"/>
      <c r="D321" s="3"/>
      <c r="E321" s="4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4"/>
      <c r="R321" s="3"/>
      <c r="S321" s="3"/>
      <c r="T321" s="3"/>
      <c r="U321" s="3"/>
    </row>
    <row r="322">
      <c r="A322" s="3"/>
      <c r="B322" s="3"/>
      <c r="C322" s="3"/>
      <c r="D322" s="3"/>
      <c r="E322" s="4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4"/>
      <c r="R322" s="3"/>
      <c r="S322" s="3"/>
      <c r="T322" s="3"/>
      <c r="U322" s="3"/>
    </row>
    <row r="323">
      <c r="A323" s="3"/>
      <c r="B323" s="3"/>
      <c r="C323" s="3"/>
      <c r="D323" s="3"/>
      <c r="E323" s="4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4"/>
      <c r="R323" s="3"/>
      <c r="S323" s="3"/>
      <c r="T323" s="3"/>
      <c r="U323" s="3"/>
    </row>
    <row r="324">
      <c r="A324" s="3"/>
      <c r="B324" s="3"/>
      <c r="C324" s="3"/>
      <c r="D324" s="3"/>
      <c r="E324" s="4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4"/>
      <c r="R324" s="3"/>
      <c r="S324" s="3"/>
      <c r="T324" s="3"/>
      <c r="U324" s="3"/>
    </row>
    <row r="325">
      <c r="A325" s="3"/>
      <c r="B325" s="3"/>
      <c r="C325" s="3"/>
      <c r="D325" s="3"/>
      <c r="E325" s="4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4"/>
      <c r="R325" s="3"/>
      <c r="S325" s="3"/>
      <c r="T325" s="3"/>
      <c r="U325" s="3"/>
    </row>
    <row r="326">
      <c r="A326" s="3"/>
      <c r="B326" s="3"/>
      <c r="C326" s="3"/>
      <c r="D326" s="3"/>
      <c r="E326" s="4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4"/>
      <c r="R326" s="3"/>
      <c r="S326" s="3"/>
      <c r="T326" s="3"/>
      <c r="U326" s="3"/>
    </row>
    <row r="327">
      <c r="A327" s="3"/>
      <c r="B327" s="3"/>
      <c r="C327" s="3"/>
      <c r="D327" s="3"/>
      <c r="E327" s="4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4"/>
      <c r="R327" s="3"/>
      <c r="S327" s="3"/>
      <c r="T327" s="3"/>
      <c r="U327" s="3"/>
    </row>
    <row r="328">
      <c r="A328" s="3"/>
      <c r="B328" s="3"/>
      <c r="C328" s="3"/>
      <c r="D328" s="3"/>
      <c r="E328" s="4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4"/>
      <c r="R328" s="3"/>
      <c r="S328" s="3"/>
      <c r="T328" s="3"/>
      <c r="U328" s="3"/>
    </row>
    <row r="329">
      <c r="A329" s="3"/>
      <c r="B329" s="3"/>
      <c r="C329" s="3"/>
      <c r="D329" s="3"/>
      <c r="E329" s="4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4"/>
      <c r="R329" s="3"/>
      <c r="S329" s="3"/>
      <c r="T329" s="3"/>
      <c r="U329" s="3"/>
    </row>
    <row r="330">
      <c r="A330" s="3"/>
      <c r="B330" s="3"/>
      <c r="C330" s="3"/>
      <c r="D330" s="3"/>
      <c r="E330" s="4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4"/>
      <c r="R330" s="3"/>
      <c r="S330" s="3"/>
      <c r="T330" s="3"/>
      <c r="U330" s="3"/>
    </row>
    <row r="331">
      <c r="A331" s="3"/>
      <c r="B331" s="3"/>
      <c r="C331" s="3"/>
      <c r="D331" s="3"/>
      <c r="E331" s="4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4"/>
      <c r="R331" s="3"/>
      <c r="S331" s="3"/>
      <c r="T331" s="3"/>
      <c r="U331" s="3"/>
    </row>
    <row r="332">
      <c r="A332" s="3"/>
      <c r="B332" s="3"/>
      <c r="C332" s="3"/>
      <c r="D332" s="3"/>
      <c r="E332" s="4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4"/>
      <c r="R332" s="3"/>
      <c r="S332" s="3"/>
      <c r="T332" s="3"/>
      <c r="U332" s="3"/>
    </row>
    <row r="333">
      <c r="A333" s="3"/>
      <c r="B333" s="3"/>
      <c r="C333" s="3"/>
      <c r="D333" s="3"/>
      <c r="E333" s="4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4"/>
      <c r="R333" s="3"/>
      <c r="S333" s="3"/>
      <c r="T333" s="3"/>
      <c r="U333" s="3"/>
    </row>
    <row r="334">
      <c r="A334" s="3"/>
      <c r="B334" s="3"/>
      <c r="C334" s="3"/>
      <c r="D334" s="3"/>
      <c r="E334" s="4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4"/>
      <c r="R334" s="3"/>
      <c r="S334" s="3"/>
      <c r="T334" s="3"/>
      <c r="U334" s="3"/>
    </row>
    <row r="335">
      <c r="A335" s="3"/>
      <c r="B335" s="3"/>
      <c r="C335" s="3"/>
      <c r="D335" s="3"/>
      <c r="E335" s="4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4"/>
      <c r="R335" s="3"/>
      <c r="S335" s="3"/>
      <c r="T335" s="3"/>
      <c r="U335" s="3"/>
    </row>
    <row r="336">
      <c r="A336" s="3"/>
      <c r="B336" s="3"/>
      <c r="C336" s="3"/>
      <c r="D336" s="3"/>
      <c r="E336" s="4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4"/>
      <c r="R336" s="3"/>
      <c r="S336" s="3"/>
      <c r="T336" s="3"/>
      <c r="U336" s="3"/>
    </row>
    <row r="337">
      <c r="A337" s="3"/>
      <c r="B337" s="3"/>
      <c r="C337" s="3"/>
      <c r="D337" s="3"/>
      <c r="E337" s="4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4"/>
      <c r="R337" s="3"/>
      <c r="S337" s="3"/>
      <c r="T337" s="3"/>
      <c r="U337" s="3"/>
    </row>
    <row r="338">
      <c r="A338" s="3"/>
      <c r="B338" s="3"/>
      <c r="C338" s="3"/>
      <c r="D338" s="3"/>
      <c r="E338" s="4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4"/>
      <c r="R338" s="3"/>
      <c r="S338" s="3"/>
      <c r="T338" s="3"/>
      <c r="U338" s="3"/>
    </row>
    <row r="339">
      <c r="A339" s="3"/>
      <c r="B339" s="3"/>
      <c r="C339" s="3"/>
      <c r="D339" s="3"/>
      <c r="E339" s="4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4"/>
      <c r="R339" s="3"/>
      <c r="S339" s="3"/>
      <c r="T339" s="3"/>
      <c r="U339" s="3"/>
    </row>
    <row r="340">
      <c r="A340" s="3"/>
      <c r="B340" s="3"/>
      <c r="C340" s="3"/>
      <c r="D340" s="3"/>
      <c r="E340" s="4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4"/>
      <c r="R340" s="3"/>
      <c r="S340" s="3"/>
      <c r="T340" s="3"/>
      <c r="U340" s="3"/>
    </row>
    <row r="341">
      <c r="A341" s="3"/>
      <c r="B341" s="3"/>
      <c r="C341" s="3"/>
      <c r="D341" s="3"/>
      <c r="E341" s="4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4"/>
      <c r="R341" s="3"/>
      <c r="S341" s="3"/>
      <c r="T341" s="3"/>
      <c r="U341" s="3"/>
    </row>
    <row r="342">
      <c r="A342" s="3"/>
      <c r="B342" s="3"/>
      <c r="C342" s="3"/>
      <c r="D342" s="3"/>
      <c r="E342" s="4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4"/>
      <c r="R342" s="3"/>
      <c r="S342" s="3"/>
      <c r="T342" s="3"/>
      <c r="U342" s="3"/>
    </row>
    <row r="343">
      <c r="A343" s="3"/>
      <c r="B343" s="3"/>
      <c r="C343" s="3"/>
      <c r="D343" s="3"/>
      <c r="E343" s="4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4"/>
      <c r="R343" s="3"/>
      <c r="S343" s="3"/>
      <c r="T343" s="3"/>
      <c r="U343" s="3"/>
    </row>
    <row r="344">
      <c r="A344" s="3"/>
      <c r="B344" s="3"/>
      <c r="C344" s="3"/>
      <c r="D344" s="3"/>
      <c r="E344" s="4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4"/>
      <c r="R344" s="3"/>
      <c r="S344" s="3"/>
      <c r="T344" s="3"/>
      <c r="U344" s="3"/>
    </row>
    <row r="345">
      <c r="A345" s="3"/>
      <c r="B345" s="3"/>
      <c r="C345" s="3"/>
      <c r="D345" s="3"/>
      <c r="E345" s="4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4"/>
      <c r="R345" s="3"/>
      <c r="S345" s="3"/>
      <c r="T345" s="3"/>
      <c r="U345" s="3"/>
    </row>
    <row r="346">
      <c r="A346" s="3"/>
      <c r="B346" s="3"/>
      <c r="C346" s="3"/>
      <c r="D346" s="3"/>
      <c r="E346" s="4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4"/>
      <c r="R346" s="3"/>
      <c r="S346" s="3"/>
      <c r="T346" s="3"/>
      <c r="U346" s="3"/>
    </row>
    <row r="347">
      <c r="A347" s="3"/>
      <c r="B347" s="3"/>
      <c r="C347" s="3"/>
      <c r="D347" s="3"/>
      <c r="E347" s="4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4"/>
      <c r="R347" s="3"/>
      <c r="S347" s="3"/>
      <c r="T347" s="3"/>
      <c r="U347" s="3"/>
    </row>
    <row r="348">
      <c r="A348" s="3"/>
      <c r="B348" s="3"/>
      <c r="C348" s="3"/>
      <c r="D348" s="3"/>
      <c r="E348" s="4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4"/>
      <c r="R348" s="3"/>
      <c r="S348" s="3"/>
      <c r="T348" s="3"/>
      <c r="U348" s="3"/>
    </row>
    <row r="349">
      <c r="A349" s="3"/>
      <c r="B349" s="3"/>
      <c r="C349" s="3"/>
      <c r="D349" s="3"/>
      <c r="E349" s="4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4"/>
      <c r="R349" s="3"/>
      <c r="S349" s="3"/>
      <c r="T349" s="3"/>
      <c r="U349" s="3"/>
    </row>
    <row r="350">
      <c r="A350" s="3"/>
      <c r="B350" s="3"/>
      <c r="C350" s="3"/>
      <c r="D350" s="3"/>
      <c r="E350" s="4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4"/>
      <c r="R350" s="3"/>
      <c r="S350" s="3"/>
      <c r="T350" s="3"/>
      <c r="U350" s="3"/>
    </row>
    <row r="351">
      <c r="A351" s="3"/>
      <c r="B351" s="3"/>
      <c r="C351" s="3"/>
      <c r="D351" s="3"/>
      <c r="E351" s="4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4"/>
      <c r="R351" s="3"/>
      <c r="S351" s="3"/>
      <c r="T351" s="3"/>
      <c r="U351" s="3"/>
    </row>
    <row r="352">
      <c r="A352" s="3"/>
      <c r="B352" s="3"/>
      <c r="C352" s="3"/>
      <c r="D352" s="3"/>
      <c r="E352" s="4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4"/>
      <c r="R352" s="3"/>
      <c r="S352" s="3"/>
      <c r="T352" s="3"/>
      <c r="U352" s="3"/>
    </row>
    <row r="353">
      <c r="A353" s="3"/>
      <c r="B353" s="3"/>
      <c r="C353" s="3"/>
      <c r="D353" s="3"/>
      <c r="E353" s="4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4"/>
      <c r="R353" s="3"/>
      <c r="S353" s="3"/>
      <c r="T353" s="3"/>
      <c r="U353" s="3"/>
    </row>
    <row r="354">
      <c r="A354" s="3"/>
      <c r="B354" s="3"/>
      <c r="C354" s="3"/>
      <c r="D354" s="3"/>
      <c r="E354" s="4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4"/>
      <c r="R354" s="3"/>
      <c r="S354" s="3"/>
      <c r="T354" s="3"/>
      <c r="U354" s="3"/>
    </row>
    <row r="355">
      <c r="A355" s="3"/>
      <c r="B355" s="3"/>
      <c r="C355" s="3"/>
      <c r="D355" s="3"/>
      <c r="E355" s="4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4"/>
      <c r="R355" s="3"/>
      <c r="S355" s="3"/>
      <c r="T355" s="3"/>
      <c r="U355" s="3"/>
    </row>
    <row r="356">
      <c r="A356" s="3"/>
      <c r="B356" s="3"/>
      <c r="C356" s="3"/>
      <c r="D356" s="3"/>
      <c r="E356" s="4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4"/>
      <c r="R356" s="3"/>
      <c r="S356" s="3"/>
      <c r="T356" s="3"/>
      <c r="U356" s="3"/>
    </row>
    <row r="357">
      <c r="A357" s="3"/>
      <c r="B357" s="3"/>
      <c r="C357" s="3"/>
      <c r="D357" s="3"/>
      <c r="E357" s="4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4"/>
      <c r="R357" s="3"/>
      <c r="S357" s="3"/>
      <c r="T357" s="3"/>
      <c r="U357" s="3"/>
    </row>
    <row r="358">
      <c r="A358" s="3"/>
      <c r="B358" s="3"/>
      <c r="C358" s="3"/>
      <c r="D358" s="3"/>
      <c r="E358" s="4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4"/>
      <c r="R358" s="3"/>
      <c r="S358" s="3"/>
      <c r="T358" s="3"/>
      <c r="U358" s="3"/>
    </row>
    <row r="359">
      <c r="A359" s="3"/>
      <c r="B359" s="3"/>
      <c r="C359" s="3"/>
      <c r="D359" s="3"/>
      <c r="E359" s="4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4"/>
      <c r="R359" s="3"/>
      <c r="S359" s="3"/>
      <c r="T359" s="3"/>
      <c r="U359" s="3"/>
    </row>
    <row r="360">
      <c r="A360" s="3"/>
      <c r="B360" s="3"/>
      <c r="C360" s="3"/>
      <c r="D360" s="3"/>
      <c r="E360" s="4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4"/>
      <c r="R360" s="3"/>
      <c r="S360" s="3"/>
      <c r="T360" s="3"/>
      <c r="U360" s="3"/>
    </row>
    <row r="361">
      <c r="A361" s="3"/>
      <c r="B361" s="3"/>
      <c r="C361" s="3"/>
      <c r="D361" s="3"/>
      <c r="E361" s="4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4"/>
      <c r="R361" s="3"/>
      <c r="S361" s="3"/>
      <c r="T361" s="3"/>
      <c r="U361" s="3"/>
    </row>
    <row r="362">
      <c r="A362" s="3"/>
      <c r="B362" s="3"/>
      <c r="C362" s="3"/>
      <c r="D362" s="3"/>
      <c r="E362" s="4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4"/>
      <c r="R362" s="3"/>
      <c r="S362" s="3"/>
      <c r="T362" s="3"/>
      <c r="U362" s="3"/>
    </row>
    <row r="363">
      <c r="A363" s="3"/>
      <c r="B363" s="3"/>
      <c r="C363" s="3"/>
      <c r="D363" s="3"/>
      <c r="E363" s="4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4"/>
      <c r="R363" s="3"/>
      <c r="S363" s="3"/>
      <c r="T363" s="3"/>
      <c r="U363" s="3"/>
    </row>
    <row r="364">
      <c r="A364" s="3"/>
      <c r="B364" s="3"/>
      <c r="C364" s="3"/>
      <c r="D364" s="3"/>
      <c r="E364" s="4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4"/>
      <c r="R364" s="3"/>
      <c r="S364" s="3"/>
      <c r="T364" s="3"/>
      <c r="U364" s="3"/>
    </row>
    <row r="365">
      <c r="A365" s="3"/>
      <c r="B365" s="3"/>
      <c r="C365" s="3"/>
      <c r="D365" s="3"/>
      <c r="E365" s="4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4"/>
      <c r="R365" s="3"/>
      <c r="S365" s="3"/>
      <c r="T365" s="3"/>
      <c r="U365" s="3"/>
    </row>
    <row r="366">
      <c r="A366" s="3"/>
      <c r="B366" s="3"/>
      <c r="C366" s="3"/>
      <c r="D366" s="3"/>
      <c r="E366" s="4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4"/>
      <c r="R366" s="3"/>
      <c r="S366" s="3"/>
      <c r="T366" s="3"/>
      <c r="U366" s="3"/>
    </row>
    <row r="367">
      <c r="A367" s="3"/>
      <c r="B367" s="3"/>
      <c r="C367" s="3"/>
      <c r="D367" s="3"/>
      <c r="E367" s="4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4"/>
      <c r="R367" s="3"/>
      <c r="S367" s="3"/>
      <c r="T367" s="3"/>
      <c r="U367" s="3"/>
    </row>
    <row r="368">
      <c r="A368" s="3"/>
      <c r="B368" s="3"/>
      <c r="C368" s="3"/>
      <c r="D368" s="3"/>
      <c r="E368" s="4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4"/>
      <c r="R368" s="3"/>
      <c r="S368" s="3"/>
      <c r="T368" s="3"/>
      <c r="U368" s="3"/>
    </row>
    <row r="369">
      <c r="A369" s="3"/>
      <c r="B369" s="3"/>
      <c r="C369" s="3"/>
      <c r="D369" s="3"/>
      <c r="E369" s="4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4"/>
      <c r="R369" s="3"/>
      <c r="S369" s="3"/>
      <c r="T369" s="3"/>
      <c r="U369" s="3"/>
    </row>
    <row r="370">
      <c r="A370" s="3"/>
      <c r="B370" s="3"/>
      <c r="C370" s="3"/>
      <c r="D370" s="3"/>
      <c r="E370" s="4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4"/>
      <c r="R370" s="3"/>
      <c r="S370" s="3"/>
      <c r="T370" s="3"/>
      <c r="U370" s="3"/>
    </row>
    <row r="371">
      <c r="A371" s="3"/>
      <c r="B371" s="3"/>
      <c r="C371" s="3"/>
      <c r="D371" s="3"/>
      <c r="E371" s="4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4"/>
      <c r="R371" s="3"/>
      <c r="S371" s="3"/>
      <c r="T371" s="3"/>
      <c r="U371" s="3"/>
    </row>
    <row r="372">
      <c r="A372" s="3"/>
      <c r="B372" s="3"/>
      <c r="C372" s="3"/>
      <c r="D372" s="3"/>
      <c r="E372" s="4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4"/>
      <c r="R372" s="3"/>
      <c r="S372" s="3"/>
      <c r="T372" s="3"/>
      <c r="U372" s="3"/>
    </row>
    <row r="373">
      <c r="A373" s="3"/>
      <c r="B373" s="3"/>
      <c r="C373" s="3"/>
      <c r="D373" s="3"/>
      <c r="E373" s="4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4"/>
      <c r="R373" s="3"/>
      <c r="S373" s="3"/>
      <c r="T373" s="3"/>
      <c r="U373" s="3"/>
    </row>
    <row r="374">
      <c r="A374" s="3"/>
      <c r="B374" s="3"/>
      <c r="C374" s="3"/>
      <c r="D374" s="3"/>
      <c r="E374" s="4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4"/>
      <c r="R374" s="3"/>
      <c r="S374" s="3"/>
      <c r="T374" s="3"/>
      <c r="U374" s="3"/>
    </row>
    <row r="375">
      <c r="A375" s="3"/>
      <c r="B375" s="3"/>
      <c r="C375" s="3"/>
      <c r="D375" s="3"/>
      <c r="E375" s="4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4"/>
      <c r="R375" s="3"/>
      <c r="S375" s="3"/>
      <c r="T375" s="3"/>
      <c r="U375" s="3"/>
    </row>
    <row r="376">
      <c r="A376" s="3"/>
      <c r="B376" s="3"/>
      <c r="C376" s="3"/>
      <c r="D376" s="3"/>
      <c r="E376" s="4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4"/>
      <c r="R376" s="3"/>
      <c r="S376" s="3"/>
      <c r="T376" s="3"/>
      <c r="U376" s="3"/>
    </row>
    <row r="377">
      <c r="A377" s="3"/>
      <c r="B377" s="3"/>
      <c r="C377" s="3"/>
      <c r="D377" s="3"/>
      <c r="E377" s="4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4"/>
      <c r="R377" s="3"/>
      <c r="S377" s="3"/>
      <c r="T377" s="3"/>
      <c r="U377" s="3"/>
    </row>
    <row r="378">
      <c r="A378" s="3"/>
      <c r="B378" s="3"/>
      <c r="C378" s="3"/>
      <c r="D378" s="3"/>
      <c r="E378" s="4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4"/>
      <c r="R378" s="3"/>
      <c r="S378" s="3"/>
      <c r="T378" s="3"/>
      <c r="U378" s="3"/>
    </row>
    <row r="379">
      <c r="A379" s="3"/>
      <c r="B379" s="3"/>
      <c r="C379" s="3"/>
      <c r="D379" s="3"/>
      <c r="E379" s="4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4"/>
      <c r="R379" s="3"/>
      <c r="S379" s="3"/>
      <c r="T379" s="3"/>
      <c r="U379" s="3"/>
    </row>
    <row r="380">
      <c r="A380" s="3"/>
      <c r="B380" s="3"/>
      <c r="C380" s="3"/>
      <c r="D380" s="3"/>
      <c r="E380" s="4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4"/>
      <c r="R380" s="3"/>
      <c r="S380" s="3"/>
      <c r="T380" s="3"/>
      <c r="U380" s="3"/>
    </row>
    <row r="381">
      <c r="A381" s="3"/>
      <c r="B381" s="3"/>
      <c r="C381" s="3"/>
      <c r="D381" s="3"/>
      <c r="E381" s="4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4"/>
      <c r="R381" s="3"/>
      <c r="S381" s="3"/>
      <c r="T381" s="3"/>
      <c r="U381" s="3"/>
    </row>
    <row r="382">
      <c r="A382" s="3"/>
      <c r="B382" s="3"/>
      <c r="C382" s="3"/>
      <c r="D382" s="3"/>
      <c r="E382" s="4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4"/>
      <c r="R382" s="3"/>
      <c r="S382" s="3"/>
      <c r="T382" s="3"/>
      <c r="U382" s="3"/>
    </row>
    <row r="383">
      <c r="A383" s="3"/>
      <c r="B383" s="3"/>
      <c r="C383" s="3"/>
      <c r="D383" s="3"/>
      <c r="E383" s="4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4"/>
      <c r="R383" s="3"/>
      <c r="S383" s="3"/>
      <c r="T383" s="3"/>
      <c r="U383" s="3"/>
    </row>
    <row r="384">
      <c r="A384" s="3"/>
      <c r="B384" s="3"/>
      <c r="C384" s="3"/>
      <c r="D384" s="3"/>
      <c r="E384" s="4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4"/>
      <c r="R384" s="3"/>
      <c r="S384" s="3"/>
      <c r="T384" s="3"/>
      <c r="U384" s="3"/>
    </row>
    <row r="385">
      <c r="A385" s="3"/>
      <c r="B385" s="3"/>
      <c r="C385" s="3"/>
      <c r="D385" s="3"/>
      <c r="E385" s="4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4"/>
      <c r="R385" s="3"/>
      <c r="S385" s="3"/>
      <c r="T385" s="3"/>
      <c r="U385" s="3"/>
    </row>
    <row r="386">
      <c r="A386" s="3"/>
      <c r="B386" s="3"/>
      <c r="C386" s="3"/>
      <c r="D386" s="3"/>
      <c r="E386" s="4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4"/>
      <c r="R386" s="3"/>
      <c r="S386" s="3"/>
      <c r="T386" s="3"/>
      <c r="U386" s="3"/>
    </row>
    <row r="387">
      <c r="A387" s="3"/>
      <c r="B387" s="3"/>
      <c r="C387" s="3"/>
      <c r="D387" s="3"/>
      <c r="E387" s="4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4"/>
      <c r="R387" s="3"/>
      <c r="S387" s="3"/>
      <c r="T387" s="3"/>
      <c r="U387" s="3"/>
    </row>
    <row r="388">
      <c r="A388" s="3"/>
      <c r="B388" s="3"/>
      <c r="C388" s="3"/>
      <c r="D388" s="3"/>
      <c r="E388" s="4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4"/>
      <c r="R388" s="3"/>
      <c r="S388" s="3"/>
      <c r="T388" s="3"/>
      <c r="U388" s="3"/>
    </row>
    <row r="389">
      <c r="A389" s="3"/>
      <c r="B389" s="3"/>
      <c r="C389" s="3"/>
      <c r="D389" s="3"/>
      <c r="E389" s="4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4"/>
      <c r="R389" s="3"/>
      <c r="S389" s="3"/>
      <c r="T389" s="3"/>
      <c r="U389" s="3"/>
    </row>
    <row r="390">
      <c r="A390" s="3"/>
      <c r="B390" s="3"/>
      <c r="C390" s="3"/>
      <c r="D390" s="3"/>
      <c r="E390" s="4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4"/>
      <c r="R390" s="3"/>
      <c r="S390" s="3"/>
      <c r="T390" s="3"/>
      <c r="U390" s="3"/>
    </row>
    <row r="391">
      <c r="A391" s="3"/>
      <c r="B391" s="3"/>
      <c r="C391" s="3"/>
      <c r="D391" s="3"/>
      <c r="E391" s="4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4"/>
      <c r="R391" s="3"/>
      <c r="S391" s="3"/>
      <c r="T391" s="3"/>
      <c r="U391" s="3"/>
    </row>
    <row r="392">
      <c r="A392" s="3"/>
      <c r="B392" s="3"/>
      <c r="C392" s="3"/>
      <c r="D392" s="3"/>
      <c r="E392" s="4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4"/>
      <c r="R392" s="3"/>
      <c r="S392" s="3"/>
      <c r="T392" s="3"/>
      <c r="U392" s="3"/>
    </row>
    <row r="393">
      <c r="A393" s="3"/>
      <c r="B393" s="3"/>
      <c r="C393" s="3"/>
      <c r="D393" s="3"/>
      <c r="E393" s="4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4"/>
      <c r="R393" s="3"/>
      <c r="S393" s="3"/>
      <c r="T393" s="3"/>
      <c r="U393" s="3"/>
    </row>
    <row r="394">
      <c r="A394" s="3"/>
      <c r="B394" s="3"/>
      <c r="C394" s="3"/>
      <c r="D394" s="3"/>
      <c r="E394" s="4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4"/>
      <c r="R394" s="3"/>
      <c r="S394" s="3"/>
      <c r="T394" s="3"/>
      <c r="U394" s="3"/>
    </row>
    <row r="395">
      <c r="A395" s="3"/>
      <c r="B395" s="3"/>
      <c r="C395" s="3"/>
      <c r="D395" s="3"/>
      <c r="E395" s="4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4"/>
      <c r="R395" s="3"/>
      <c r="S395" s="3"/>
      <c r="T395" s="3"/>
      <c r="U395" s="3"/>
    </row>
    <row r="396">
      <c r="A396" s="3"/>
      <c r="B396" s="3"/>
      <c r="C396" s="3"/>
      <c r="D396" s="3"/>
      <c r="E396" s="4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4"/>
      <c r="R396" s="3"/>
      <c r="S396" s="3"/>
      <c r="T396" s="3"/>
      <c r="U396" s="3"/>
    </row>
    <row r="397">
      <c r="A397" s="3"/>
      <c r="B397" s="3"/>
      <c r="C397" s="3"/>
      <c r="D397" s="3"/>
      <c r="E397" s="4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4"/>
      <c r="R397" s="3"/>
      <c r="S397" s="3"/>
      <c r="T397" s="3"/>
      <c r="U397" s="3"/>
    </row>
    <row r="398">
      <c r="A398" s="3"/>
      <c r="B398" s="3"/>
      <c r="C398" s="3"/>
      <c r="D398" s="3"/>
      <c r="E398" s="4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4"/>
      <c r="R398" s="3"/>
      <c r="S398" s="3"/>
      <c r="T398" s="3"/>
      <c r="U398" s="3"/>
    </row>
    <row r="399">
      <c r="A399" s="3"/>
      <c r="B399" s="3"/>
      <c r="C399" s="3"/>
      <c r="D399" s="3"/>
      <c r="E399" s="4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4"/>
      <c r="R399" s="3"/>
      <c r="S399" s="3"/>
      <c r="T399" s="3"/>
      <c r="U399" s="3"/>
    </row>
    <row r="400">
      <c r="A400" s="3"/>
      <c r="B400" s="3"/>
      <c r="C400" s="3"/>
      <c r="D400" s="3"/>
      <c r="E400" s="4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4"/>
      <c r="R400" s="3"/>
      <c r="S400" s="3"/>
      <c r="T400" s="3"/>
      <c r="U400" s="3"/>
    </row>
    <row r="401">
      <c r="A401" s="3"/>
      <c r="B401" s="3"/>
      <c r="C401" s="3"/>
      <c r="D401" s="3"/>
      <c r="E401" s="4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4"/>
      <c r="R401" s="3"/>
      <c r="S401" s="3"/>
      <c r="T401" s="3"/>
      <c r="U401" s="3"/>
    </row>
    <row r="402">
      <c r="A402" s="3"/>
      <c r="B402" s="3"/>
      <c r="C402" s="3"/>
      <c r="D402" s="3"/>
      <c r="E402" s="4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4"/>
      <c r="R402" s="3"/>
      <c r="S402" s="3"/>
      <c r="T402" s="3"/>
      <c r="U402" s="3"/>
    </row>
    <row r="403">
      <c r="A403" s="3"/>
      <c r="B403" s="3"/>
      <c r="C403" s="3"/>
      <c r="D403" s="3"/>
      <c r="E403" s="4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4"/>
      <c r="R403" s="3"/>
      <c r="S403" s="3"/>
      <c r="T403" s="3"/>
      <c r="U403" s="3"/>
    </row>
    <row r="404">
      <c r="A404" s="3"/>
      <c r="B404" s="3"/>
      <c r="C404" s="3"/>
      <c r="D404" s="3"/>
      <c r="E404" s="4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4"/>
      <c r="R404" s="3"/>
      <c r="S404" s="3"/>
      <c r="T404" s="3"/>
      <c r="U404" s="3"/>
    </row>
    <row r="405">
      <c r="A405" s="3"/>
      <c r="B405" s="3"/>
      <c r="C405" s="3"/>
      <c r="D405" s="3"/>
      <c r="E405" s="4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4"/>
      <c r="R405" s="3"/>
      <c r="S405" s="3"/>
      <c r="T405" s="3"/>
      <c r="U405" s="3"/>
    </row>
    <row r="406">
      <c r="A406" s="3"/>
      <c r="B406" s="3"/>
      <c r="C406" s="3"/>
      <c r="D406" s="3"/>
      <c r="E406" s="4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4"/>
      <c r="R406" s="3"/>
      <c r="S406" s="3"/>
      <c r="T406" s="3"/>
      <c r="U406" s="3"/>
    </row>
    <row r="407">
      <c r="A407" s="3"/>
      <c r="B407" s="3"/>
      <c r="C407" s="3"/>
      <c r="D407" s="3"/>
      <c r="E407" s="4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4"/>
      <c r="R407" s="3"/>
      <c r="S407" s="3"/>
      <c r="T407" s="3"/>
      <c r="U407" s="3"/>
    </row>
    <row r="408">
      <c r="A408" s="3"/>
      <c r="B408" s="3"/>
      <c r="C408" s="3"/>
      <c r="D408" s="3"/>
      <c r="E408" s="4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4"/>
      <c r="R408" s="3"/>
      <c r="S408" s="3"/>
      <c r="T408" s="3"/>
      <c r="U408" s="3"/>
    </row>
    <row r="409">
      <c r="A409" s="3"/>
      <c r="B409" s="3"/>
      <c r="C409" s="3"/>
      <c r="D409" s="3"/>
      <c r="E409" s="4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4"/>
      <c r="R409" s="3"/>
      <c r="S409" s="3"/>
      <c r="T409" s="3"/>
      <c r="U409" s="3"/>
    </row>
    <row r="410">
      <c r="A410" s="3"/>
      <c r="B410" s="3"/>
      <c r="C410" s="3"/>
      <c r="D410" s="3"/>
      <c r="E410" s="4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4"/>
      <c r="R410" s="3"/>
      <c r="S410" s="3"/>
      <c r="T410" s="3"/>
      <c r="U410" s="3"/>
    </row>
    <row r="411">
      <c r="A411" s="3"/>
      <c r="B411" s="3"/>
      <c r="C411" s="3"/>
      <c r="D411" s="3"/>
      <c r="E411" s="4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4"/>
      <c r="R411" s="3"/>
      <c r="S411" s="3"/>
      <c r="T411" s="3"/>
      <c r="U411" s="3"/>
    </row>
    <row r="412">
      <c r="A412" s="3"/>
      <c r="B412" s="3"/>
      <c r="C412" s="3"/>
      <c r="D412" s="3"/>
      <c r="E412" s="4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4"/>
      <c r="R412" s="3"/>
      <c r="S412" s="3"/>
      <c r="T412" s="3"/>
      <c r="U412" s="3"/>
    </row>
    <row r="413">
      <c r="A413" s="3"/>
      <c r="B413" s="3"/>
      <c r="C413" s="3"/>
      <c r="D413" s="3"/>
      <c r="E413" s="4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4"/>
      <c r="R413" s="3"/>
      <c r="S413" s="3"/>
      <c r="T413" s="3"/>
      <c r="U413" s="3"/>
    </row>
    <row r="414">
      <c r="A414" s="3"/>
      <c r="B414" s="3"/>
      <c r="C414" s="3"/>
      <c r="D414" s="3"/>
      <c r="E414" s="4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4"/>
      <c r="R414" s="3"/>
      <c r="S414" s="3"/>
      <c r="T414" s="3"/>
      <c r="U414" s="3"/>
    </row>
    <row r="415">
      <c r="A415" s="3"/>
      <c r="B415" s="3"/>
      <c r="C415" s="3"/>
      <c r="D415" s="3"/>
      <c r="E415" s="4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4"/>
      <c r="R415" s="3"/>
      <c r="S415" s="3"/>
      <c r="T415" s="3"/>
      <c r="U415" s="3"/>
    </row>
    <row r="416">
      <c r="A416" s="3"/>
      <c r="B416" s="3"/>
      <c r="C416" s="3"/>
      <c r="D416" s="3"/>
      <c r="E416" s="4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4"/>
      <c r="R416" s="3"/>
      <c r="S416" s="3"/>
      <c r="T416" s="3"/>
      <c r="U416" s="3"/>
    </row>
    <row r="417">
      <c r="A417" s="3"/>
      <c r="B417" s="3"/>
      <c r="C417" s="3"/>
      <c r="D417" s="3"/>
      <c r="E417" s="4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4"/>
      <c r="R417" s="3"/>
      <c r="S417" s="3"/>
      <c r="T417" s="3"/>
      <c r="U417" s="3"/>
    </row>
    <row r="418">
      <c r="A418" s="3"/>
      <c r="B418" s="3"/>
      <c r="C418" s="3"/>
      <c r="D418" s="3"/>
      <c r="E418" s="4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4"/>
      <c r="R418" s="3"/>
      <c r="S418" s="3"/>
      <c r="T418" s="3"/>
      <c r="U418" s="3"/>
    </row>
    <row r="419">
      <c r="A419" s="3"/>
      <c r="B419" s="3"/>
      <c r="C419" s="3"/>
      <c r="D419" s="3"/>
      <c r="E419" s="4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4"/>
      <c r="R419" s="3"/>
      <c r="S419" s="3"/>
      <c r="T419" s="3"/>
      <c r="U419" s="3"/>
    </row>
    <row r="420">
      <c r="A420" s="3"/>
      <c r="B420" s="3"/>
      <c r="C420" s="3"/>
      <c r="D420" s="3"/>
      <c r="E420" s="4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4"/>
      <c r="R420" s="3"/>
      <c r="S420" s="3"/>
      <c r="T420" s="3"/>
      <c r="U420" s="3"/>
    </row>
    <row r="421">
      <c r="A421" s="3"/>
      <c r="B421" s="3"/>
      <c r="C421" s="3"/>
      <c r="D421" s="3"/>
      <c r="E421" s="4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4"/>
      <c r="R421" s="3"/>
      <c r="S421" s="3"/>
      <c r="T421" s="3"/>
      <c r="U421" s="3"/>
    </row>
    <row r="422">
      <c r="A422" s="3"/>
      <c r="B422" s="3"/>
      <c r="C422" s="3"/>
      <c r="D422" s="3"/>
      <c r="E422" s="4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4"/>
      <c r="R422" s="3"/>
      <c r="S422" s="3"/>
      <c r="T422" s="3"/>
      <c r="U422" s="3"/>
    </row>
    <row r="423">
      <c r="A423" s="3"/>
      <c r="B423" s="3"/>
      <c r="C423" s="3"/>
      <c r="D423" s="3"/>
      <c r="E423" s="4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4"/>
      <c r="R423" s="3"/>
      <c r="S423" s="3"/>
      <c r="T423" s="3"/>
      <c r="U423" s="3"/>
    </row>
    <row r="424">
      <c r="A424" s="3"/>
      <c r="B424" s="3"/>
      <c r="C424" s="3"/>
      <c r="D424" s="3"/>
      <c r="E424" s="4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4"/>
      <c r="R424" s="3"/>
      <c r="S424" s="3"/>
      <c r="T424" s="3"/>
      <c r="U424" s="3"/>
    </row>
    <row r="425">
      <c r="A425" s="3"/>
      <c r="B425" s="3"/>
      <c r="C425" s="3"/>
      <c r="D425" s="3"/>
      <c r="E425" s="4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4"/>
      <c r="R425" s="3"/>
      <c r="S425" s="3"/>
      <c r="T425" s="3"/>
      <c r="U425" s="3"/>
    </row>
    <row r="426">
      <c r="A426" s="3"/>
      <c r="B426" s="3"/>
      <c r="C426" s="3"/>
      <c r="D426" s="3"/>
      <c r="E426" s="4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4"/>
      <c r="R426" s="3"/>
      <c r="S426" s="3"/>
      <c r="T426" s="3"/>
      <c r="U426" s="3"/>
    </row>
    <row r="427">
      <c r="A427" s="3"/>
      <c r="B427" s="3"/>
      <c r="C427" s="3"/>
      <c r="D427" s="3"/>
      <c r="E427" s="4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4"/>
      <c r="R427" s="3"/>
      <c r="S427" s="3"/>
      <c r="T427" s="3"/>
      <c r="U427" s="3"/>
    </row>
    <row r="428">
      <c r="A428" s="3"/>
      <c r="B428" s="3"/>
      <c r="C428" s="3"/>
      <c r="D428" s="3"/>
      <c r="E428" s="4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4"/>
      <c r="R428" s="3"/>
      <c r="S428" s="3"/>
      <c r="T428" s="3"/>
      <c r="U428" s="3"/>
    </row>
    <row r="429">
      <c r="A429" s="3"/>
      <c r="B429" s="3"/>
      <c r="C429" s="3"/>
      <c r="D429" s="3"/>
      <c r="E429" s="4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4"/>
      <c r="R429" s="3"/>
      <c r="S429" s="3"/>
      <c r="T429" s="3"/>
      <c r="U429" s="3"/>
    </row>
    <row r="430">
      <c r="A430" s="3"/>
      <c r="B430" s="3"/>
      <c r="C430" s="3"/>
      <c r="D430" s="3"/>
      <c r="E430" s="4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4"/>
      <c r="R430" s="3"/>
      <c r="S430" s="3"/>
      <c r="T430" s="3"/>
      <c r="U430" s="3"/>
    </row>
    <row r="431">
      <c r="A431" s="3"/>
      <c r="B431" s="3"/>
      <c r="C431" s="3"/>
      <c r="D431" s="3"/>
      <c r="E431" s="4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4"/>
      <c r="R431" s="3"/>
      <c r="S431" s="3"/>
      <c r="T431" s="3"/>
      <c r="U431" s="3"/>
    </row>
    <row r="432">
      <c r="A432" s="3"/>
      <c r="B432" s="3"/>
      <c r="C432" s="3"/>
      <c r="D432" s="3"/>
      <c r="E432" s="4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4"/>
      <c r="R432" s="3"/>
      <c r="S432" s="3"/>
      <c r="T432" s="3"/>
      <c r="U432" s="3"/>
    </row>
    <row r="433">
      <c r="A433" s="3"/>
      <c r="B433" s="3"/>
      <c r="C433" s="3"/>
      <c r="D433" s="3"/>
      <c r="E433" s="4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4"/>
      <c r="R433" s="3"/>
      <c r="S433" s="3"/>
      <c r="T433" s="3"/>
      <c r="U433" s="3"/>
    </row>
    <row r="434">
      <c r="A434" s="3"/>
      <c r="B434" s="3"/>
      <c r="C434" s="3"/>
      <c r="D434" s="3"/>
      <c r="E434" s="4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4"/>
      <c r="R434" s="3"/>
      <c r="S434" s="3"/>
      <c r="T434" s="3"/>
      <c r="U434" s="3"/>
    </row>
    <row r="435">
      <c r="A435" s="3"/>
      <c r="B435" s="3"/>
      <c r="C435" s="3"/>
      <c r="D435" s="3"/>
      <c r="E435" s="4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4"/>
      <c r="R435" s="3"/>
      <c r="S435" s="3"/>
      <c r="T435" s="3"/>
      <c r="U435" s="3"/>
    </row>
    <row r="436">
      <c r="A436" s="3"/>
      <c r="B436" s="3"/>
      <c r="C436" s="3"/>
      <c r="D436" s="3"/>
      <c r="E436" s="4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4"/>
      <c r="R436" s="3"/>
      <c r="S436" s="3"/>
      <c r="T436" s="3"/>
      <c r="U436" s="3"/>
    </row>
    <row r="437">
      <c r="A437" s="3"/>
      <c r="B437" s="3"/>
      <c r="C437" s="3"/>
      <c r="D437" s="3"/>
      <c r="E437" s="4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4"/>
      <c r="R437" s="3"/>
      <c r="S437" s="3"/>
      <c r="T437" s="3"/>
      <c r="U437" s="3"/>
    </row>
    <row r="438">
      <c r="A438" s="3"/>
      <c r="B438" s="3"/>
      <c r="C438" s="3"/>
      <c r="D438" s="3"/>
      <c r="E438" s="4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4"/>
      <c r="R438" s="3"/>
      <c r="S438" s="3"/>
      <c r="T438" s="3"/>
      <c r="U438" s="3"/>
    </row>
    <row r="439">
      <c r="A439" s="3"/>
      <c r="B439" s="3"/>
      <c r="C439" s="3"/>
      <c r="D439" s="3"/>
      <c r="E439" s="4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4"/>
      <c r="R439" s="3"/>
      <c r="S439" s="3"/>
      <c r="T439" s="3"/>
      <c r="U439" s="3"/>
    </row>
    <row r="440">
      <c r="A440" s="3"/>
      <c r="B440" s="3"/>
      <c r="C440" s="3"/>
      <c r="D440" s="3"/>
      <c r="E440" s="4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4"/>
      <c r="R440" s="3"/>
      <c r="S440" s="3"/>
      <c r="T440" s="3"/>
      <c r="U440" s="3"/>
    </row>
    <row r="441">
      <c r="A441" s="3"/>
      <c r="B441" s="3"/>
      <c r="C441" s="3"/>
      <c r="D441" s="3"/>
      <c r="E441" s="4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4"/>
      <c r="R441" s="3"/>
      <c r="S441" s="3"/>
      <c r="T441" s="3"/>
      <c r="U441" s="3"/>
    </row>
    <row r="442">
      <c r="A442" s="3"/>
      <c r="B442" s="3"/>
      <c r="C442" s="3"/>
      <c r="D442" s="3"/>
      <c r="E442" s="4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4"/>
      <c r="R442" s="3"/>
      <c r="S442" s="3"/>
      <c r="T442" s="3"/>
      <c r="U442" s="3"/>
    </row>
    <row r="443">
      <c r="A443" s="3"/>
      <c r="B443" s="3"/>
      <c r="C443" s="3"/>
      <c r="D443" s="3"/>
      <c r="E443" s="4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4"/>
      <c r="R443" s="3"/>
      <c r="S443" s="3"/>
      <c r="T443" s="3"/>
      <c r="U443" s="3"/>
    </row>
    <row r="444">
      <c r="A444" s="3"/>
      <c r="B444" s="3"/>
      <c r="C444" s="3"/>
      <c r="D444" s="3"/>
      <c r="E444" s="4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4"/>
      <c r="R444" s="3"/>
      <c r="S444" s="3"/>
      <c r="T444" s="3"/>
      <c r="U444" s="3"/>
    </row>
    <row r="445">
      <c r="A445" s="3"/>
      <c r="B445" s="3"/>
      <c r="C445" s="3"/>
      <c r="D445" s="3"/>
      <c r="E445" s="4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4"/>
      <c r="R445" s="3"/>
      <c r="S445" s="3"/>
      <c r="T445" s="3"/>
      <c r="U445" s="3"/>
    </row>
    <row r="446">
      <c r="A446" s="3"/>
      <c r="B446" s="3"/>
      <c r="C446" s="3"/>
      <c r="D446" s="3"/>
      <c r="E446" s="4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4"/>
      <c r="R446" s="3"/>
      <c r="S446" s="3"/>
      <c r="T446" s="3"/>
      <c r="U446" s="3"/>
    </row>
    <row r="447">
      <c r="A447" s="3"/>
      <c r="B447" s="3"/>
      <c r="C447" s="3"/>
      <c r="D447" s="3"/>
      <c r="E447" s="4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4"/>
      <c r="R447" s="3"/>
      <c r="S447" s="3"/>
      <c r="T447" s="3"/>
      <c r="U447" s="3"/>
    </row>
    <row r="448">
      <c r="A448" s="3"/>
      <c r="B448" s="3"/>
      <c r="C448" s="3"/>
      <c r="D448" s="3"/>
      <c r="E448" s="4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4"/>
      <c r="R448" s="3"/>
      <c r="S448" s="3"/>
      <c r="T448" s="3"/>
      <c r="U448" s="3"/>
    </row>
    <row r="449">
      <c r="A449" s="3"/>
      <c r="B449" s="3"/>
      <c r="C449" s="3"/>
      <c r="D449" s="3"/>
      <c r="E449" s="4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4"/>
      <c r="R449" s="3"/>
      <c r="S449" s="3"/>
      <c r="T449" s="3"/>
      <c r="U449" s="3"/>
    </row>
    <row r="450">
      <c r="A450" s="3"/>
      <c r="B450" s="3"/>
      <c r="C450" s="3"/>
      <c r="D450" s="3"/>
      <c r="E450" s="4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4"/>
      <c r="R450" s="3"/>
      <c r="S450" s="3"/>
      <c r="T450" s="3"/>
      <c r="U450" s="3"/>
    </row>
    <row r="451">
      <c r="A451" s="3"/>
      <c r="B451" s="3"/>
      <c r="C451" s="3"/>
      <c r="D451" s="3"/>
      <c r="E451" s="4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4"/>
      <c r="R451" s="3"/>
      <c r="S451" s="3"/>
      <c r="T451" s="3"/>
      <c r="U451" s="3"/>
    </row>
    <row r="452">
      <c r="A452" s="3"/>
      <c r="B452" s="3"/>
      <c r="C452" s="3"/>
      <c r="D452" s="3"/>
      <c r="E452" s="4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4"/>
      <c r="R452" s="3"/>
      <c r="S452" s="3"/>
      <c r="T452" s="3"/>
      <c r="U452" s="3"/>
    </row>
    <row r="453">
      <c r="A453" s="3"/>
      <c r="B453" s="3"/>
      <c r="C453" s="3"/>
      <c r="D453" s="3"/>
      <c r="E453" s="4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4"/>
      <c r="R453" s="3"/>
      <c r="S453" s="3"/>
      <c r="T453" s="3"/>
      <c r="U453" s="3"/>
    </row>
    <row r="454">
      <c r="A454" s="3"/>
      <c r="B454" s="3"/>
      <c r="C454" s="3"/>
      <c r="D454" s="3"/>
      <c r="E454" s="4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4"/>
      <c r="R454" s="3"/>
      <c r="S454" s="3"/>
      <c r="T454" s="3"/>
      <c r="U454" s="3"/>
    </row>
    <row r="455">
      <c r="A455" s="3"/>
      <c r="B455" s="3"/>
      <c r="C455" s="3"/>
      <c r="D455" s="3"/>
      <c r="E455" s="4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4"/>
      <c r="R455" s="3"/>
      <c r="S455" s="3"/>
      <c r="T455" s="3"/>
      <c r="U455" s="3"/>
    </row>
    <row r="456">
      <c r="A456" s="3"/>
      <c r="B456" s="3"/>
      <c r="C456" s="3"/>
      <c r="D456" s="3"/>
      <c r="E456" s="4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4"/>
      <c r="R456" s="3"/>
      <c r="S456" s="3"/>
      <c r="T456" s="3"/>
      <c r="U456" s="3"/>
    </row>
    <row r="457">
      <c r="A457" s="3"/>
      <c r="B457" s="3"/>
      <c r="C457" s="3"/>
      <c r="D457" s="3"/>
      <c r="E457" s="4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4"/>
      <c r="R457" s="3"/>
      <c r="S457" s="3"/>
      <c r="T457" s="3"/>
      <c r="U457" s="3"/>
    </row>
    <row r="458">
      <c r="A458" s="3"/>
      <c r="B458" s="3"/>
      <c r="C458" s="3"/>
      <c r="D458" s="3"/>
      <c r="E458" s="4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4"/>
      <c r="R458" s="3"/>
      <c r="S458" s="3"/>
      <c r="T458" s="3"/>
      <c r="U458" s="3"/>
    </row>
    <row r="459">
      <c r="A459" s="3"/>
      <c r="B459" s="3"/>
      <c r="C459" s="3"/>
      <c r="D459" s="3"/>
      <c r="E459" s="4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4"/>
      <c r="R459" s="3"/>
      <c r="S459" s="3"/>
      <c r="T459" s="3"/>
      <c r="U459" s="3"/>
    </row>
    <row r="460">
      <c r="A460" s="3"/>
      <c r="B460" s="3"/>
      <c r="C460" s="3"/>
      <c r="D460" s="3"/>
      <c r="E460" s="4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4"/>
      <c r="R460" s="3"/>
      <c r="S460" s="3"/>
      <c r="T460" s="3"/>
      <c r="U460" s="3"/>
    </row>
    <row r="461">
      <c r="A461" s="3"/>
      <c r="B461" s="3"/>
      <c r="C461" s="3"/>
      <c r="D461" s="3"/>
      <c r="E461" s="4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4"/>
      <c r="R461" s="3"/>
      <c r="S461" s="3"/>
      <c r="T461" s="3"/>
      <c r="U461" s="3"/>
    </row>
    <row r="462">
      <c r="A462" s="3"/>
      <c r="B462" s="3"/>
      <c r="C462" s="3"/>
      <c r="D462" s="3"/>
      <c r="E462" s="4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4"/>
      <c r="R462" s="3"/>
      <c r="S462" s="3"/>
      <c r="T462" s="3"/>
      <c r="U462" s="3"/>
    </row>
    <row r="463">
      <c r="A463" s="3"/>
      <c r="B463" s="3"/>
      <c r="C463" s="3"/>
      <c r="D463" s="3"/>
      <c r="E463" s="4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4"/>
      <c r="R463" s="3"/>
      <c r="S463" s="3"/>
      <c r="T463" s="3"/>
      <c r="U463" s="3"/>
    </row>
    <row r="464">
      <c r="A464" s="3"/>
      <c r="B464" s="3"/>
      <c r="C464" s="3"/>
      <c r="D464" s="3"/>
      <c r="E464" s="4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4"/>
      <c r="R464" s="3"/>
      <c r="S464" s="3"/>
      <c r="T464" s="3"/>
      <c r="U464" s="3"/>
    </row>
    <row r="465">
      <c r="A465" s="3"/>
      <c r="B465" s="3"/>
      <c r="C465" s="3"/>
      <c r="D465" s="3"/>
      <c r="E465" s="4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4"/>
      <c r="R465" s="3"/>
      <c r="S465" s="3"/>
      <c r="T465" s="3"/>
      <c r="U465" s="3"/>
    </row>
    <row r="466">
      <c r="A466" s="3"/>
      <c r="B466" s="3"/>
      <c r="C466" s="3"/>
      <c r="D466" s="3"/>
      <c r="E466" s="4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4"/>
      <c r="R466" s="3"/>
      <c r="S466" s="3"/>
      <c r="T466" s="3"/>
      <c r="U466" s="3"/>
    </row>
    <row r="467">
      <c r="A467" s="3"/>
      <c r="B467" s="3"/>
      <c r="C467" s="3"/>
      <c r="D467" s="3"/>
      <c r="E467" s="4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4"/>
      <c r="R467" s="3"/>
      <c r="S467" s="3"/>
      <c r="T467" s="3"/>
      <c r="U467" s="3"/>
    </row>
    <row r="468">
      <c r="A468" s="3"/>
      <c r="B468" s="3"/>
      <c r="C468" s="3"/>
      <c r="D468" s="3"/>
      <c r="E468" s="4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4"/>
      <c r="R468" s="3"/>
      <c r="S468" s="3"/>
      <c r="T468" s="3"/>
      <c r="U468" s="3"/>
    </row>
    <row r="469">
      <c r="A469" s="3"/>
      <c r="B469" s="3"/>
      <c r="C469" s="3"/>
      <c r="D469" s="3"/>
      <c r="E469" s="4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4"/>
      <c r="R469" s="3"/>
      <c r="S469" s="3"/>
      <c r="T469" s="3"/>
      <c r="U469" s="3"/>
    </row>
    <row r="470">
      <c r="A470" s="3"/>
      <c r="B470" s="3"/>
      <c r="C470" s="3"/>
      <c r="D470" s="3"/>
      <c r="E470" s="4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4"/>
      <c r="R470" s="3"/>
      <c r="S470" s="3"/>
      <c r="T470" s="3"/>
      <c r="U470" s="3"/>
    </row>
    <row r="471">
      <c r="A471" s="3"/>
      <c r="B471" s="3"/>
      <c r="C471" s="3"/>
      <c r="D471" s="3"/>
      <c r="E471" s="4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4"/>
      <c r="R471" s="3"/>
      <c r="S471" s="3"/>
      <c r="T471" s="3"/>
      <c r="U471" s="3"/>
    </row>
    <row r="472">
      <c r="A472" s="3"/>
      <c r="B472" s="3"/>
      <c r="C472" s="3"/>
      <c r="D472" s="3"/>
      <c r="E472" s="4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4"/>
      <c r="R472" s="3"/>
      <c r="S472" s="3"/>
      <c r="T472" s="3"/>
      <c r="U472" s="3"/>
    </row>
    <row r="473">
      <c r="A473" s="3"/>
      <c r="B473" s="3"/>
      <c r="C473" s="3"/>
      <c r="D473" s="3"/>
      <c r="E473" s="4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4"/>
      <c r="R473" s="3"/>
      <c r="S473" s="3"/>
      <c r="T473" s="3"/>
      <c r="U473" s="3"/>
    </row>
    <row r="474">
      <c r="A474" s="3"/>
      <c r="B474" s="3"/>
      <c r="C474" s="3"/>
      <c r="D474" s="3"/>
      <c r="E474" s="4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4"/>
      <c r="R474" s="3"/>
      <c r="S474" s="3"/>
      <c r="T474" s="3"/>
      <c r="U474" s="3"/>
    </row>
    <row r="475">
      <c r="A475" s="3"/>
      <c r="B475" s="3"/>
      <c r="C475" s="3"/>
      <c r="D475" s="3"/>
      <c r="E475" s="4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4"/>
      <c r="R475" s="3"/>
      <c r="S475" s="3"/>
      <c r="T475" s="3"/>
      <c r="U475" s="3"/>
    </row>
    <row r="476">
      <c r="A476" s="3"/>
      <c r="B476" s="3"/>
      <c r="C476" s="3"/>
      <c r="D476" s="3"/>
      <c r="E476" s="4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4"/>
      <c r="R476" s="3"/>
      <c r="S476" s="3"/>
      <c r="T476" s="3"/>
      <c r="U476" s="3"/>
    </row>
    <row r="477">
      <c r="A477" s="3"/>
      <c r="B477" s="3"/>
      <c r="C477" s="3"/>
      <c r="D477" s="3"/>
      <c r="E477" s="4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4"/>
      <c r="R477" s="3"/>
      <c r="S477" s="3"/>
      <c r="T477" s="3"/>
      <c r="U477" s="3"/>
    </row>
    <row r="478">
      <c r="A478" s="3"/>
      <c r="B478" s="3"/>
      <c r="C478" s="3"/>
      <c r="D478" s="3"/>
      <c r="E478" s="4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4"/>
      <c r="R478" s="3"/>
      <c r="S478" s="3"/>
      <c r="T478" s="3"/>
      <c r="U478" s="3"/>
    </row>
    <row r="479">
      <c r="A479" s="3"/>
      <c r="B479" s="3"/>
      <c r="C479" s="3"/>
      <c r="D479" s="3"/>
      <c r="E479" s="4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4"/>
      <c r="R479" s="3"/>
      <c r="S479" s="3"/>
      <c r="T479" s="3"/>
      <c r="U479" s="3"/>
    </row>
    <row r="480">
      <c r="A480" s="3"/>
      <c r="B480" s="3"/>
      <c r="C480" s="3"/>
      <c r="D480" s="3"/>
      <c r="E480" s="4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4"/>
      <c r="R480" s="3"/>
      <c r="S480" s="3"/>
      <c r="T480" s="3"/>
      <c r="U480" s="3"/>
    </row>
    <row r="481">
      <c r="A481" s="3"/>
      <c r="B481" s="3"/>
      <c r="C481" s="3"/>
      <c r="D481" s="3"/>
      <c r="E481" s="4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4"/>
      <c r="R481" s="3"/>
      <c r="S481" s="3"/>
      <c r="T481" s="3"/>
      <c r="U481" s="3"/>
    </row>
    <row r="482">
      <c r="A482" s="3"/>
      <c r="B482" s="3"/>
      <c r="C482" s="3"/>
      <c r="D482" s="3"/>
      <c r="E482" s="4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4"/>
      <c r="R482" s="3"/>
      <c r="S482" s="3"/>
      <c r="T482" s="3"/>
      <c r="U482" s="3"/>
    </row>
    <row r="483">
      <c r="A483" s="3"/>
      <c r="B483" s="3"/>
      <c r="C483" s="3"/>
      <c r="D483" s="3"/>
      <c r="E483" s="4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4"/>
      <c r="R483" s="3"/>
      <c r="S483" s="3"/>
      <c r="T483" s="3"/>
      <c r="U483" s="3"/>
    </row>
    <row r="484">
      <c r="A484" s="3"/>
      <c r="B484" s="3"/>
      <c r="C484" s="3"/>
      <c r="D484" s="3"/>
      <c r="E484" s="4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4"/>
      <c r="R484" s="3"/>
      <c r="S484" s="3"/>
      <c r="T484" s="3"/>
      <c r="U484" s="3"/>
    </row>
    <row r="485">
      <c r="A485" s="3"/>
      <c r="B485" s="3"/>
      <c r="C485" s="3"/>
      <c r="D485" s="3"/>
      <c r="E485" s="4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4"/>
      <c r="R485" s="3"/>
      <c r="S485" s="3"/>
      <c r="T485" s="3"/>
      <c r="U485" s="3"/>
    </row>
    <row r="486">
      <c r="A486" s="3"/>
      <c r="B486" s="3"/>
      <c r="C486" s="3"/>
      <c r="D486" s="3"/>
      <c r="E486" s="4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4"/>
      <c r="R486" s="3"/>
      <c r="S486" s="3"/>
      <c r="T486" s="3"/>
      <c r="U486" s="3"/>
    </row>
    <row r="487">
      <c r="A487" s="3"/>
      <c r="B487" s="3"/>
      <c r="C487" s="3"/>
      <c r="D487" s="3"/>
      <c r="E487" s="4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4"/>
      <c r="R487" s="3"/>
      <c r="S487" s="3"/>
      <c r="T487" s="3"/>
      <c r="U487" s="3"/>
    </row>
    <row r="488">
      <c r="A488" s="3"/>
      <c r="B488" s="3"/>
      <c r="C488" s="3"/>
      <c r="D488" s="3"/>
      <c r="E488" s="4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4"/>
      <c r="R488" s="3"/>
      <c r="S488" s="3"/>
      <c r="T488" s="3"/>
      <c r="U488" s="3"/>
    </row>
    <row r="489">
      <c r="A489" s="3"/>
      <c r="B489" s="3"/>
      <c r="C489" s="3"/>
      <c r="D489" s="3"/>
      <c r="E489" s="4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4"/>
      <c r="R489" s="3"/>
      <c r="S489" s="3"/>
      <c r="T489" s="3"/>
      <c r="U489" s="3"/>
    </row>
    <row r="490">
      <c r="A490" s="3"/>
      <c r="B490" s="3"/>
      <c r="C490" s="3"/>
      <c r="D490" s="3"/>
      <c r="E490" s="4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4"/>
      <c r="R490" s="3"/>
      <c r="S490" s="3"/>
      <c r="T490" s="3"/>
      <c r="U490" s="3"/>
    </row>
    <row r="491">
      <c r="A491" s="3"/>
      <c r="B491" s="3"/>
      <c r="C491" s="3"/>
      <c r="D491" s="3"/>
      <c r="E491" s="4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4"/>
      <c r="R491" s="3"/>
      <c r="S491" s="3"/>
      <c r="T491" s="3"/>
      <c r="U491" s="3"/>
    </row>
    <row r="492">
      <c r="A492" s="3"/>
      <c r="B492" s="3"/>
      <c r="C492" s="3"/>
      <c r="D492" s="3"/>
      <c r="E492" s="4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4"/>
      <c r="R492" s="3"/>
      <c r="S492" s="3"/>
      <c r="T492" s="3"/>
      <c r="U492" s="3"/>
    </row>
    <row r="493">
      <c r="A493" s="3"/>
      <c r="B493" s="3"/>
      <c r="C493" s="3"/>
      <c r="D493" s="3"/>
      <c r="E493" s="4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4"/>
      <c r="R493" s="3"/>
      <c r="S493" s="3"/>
      <c r="T493" s="3"/>
      <c r="U493" s="3"/>
    </row>
    <row r="494">
      <c r="A494" s="3"/>
      <c r="B494" s="3"/>
      <c r="C494" s="3"/>
      <c r="D494" s="3"/>
      <c r="E494" s="4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4"/>
      <c r="R494" s="3"/>
      <c r="S494" s="3"/>
      <c r="T494" s="3"/>
      <c r="U494" s="3"/>
    </row>
    <row r="495">
      <c r="A495" s="3"/>
      <c r="B495" s="3"/>
      <c r="C495" s="3"/>
      <c r="D495" s="3"/>
      <c r="E495" s="4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4"/>
      <c r="R495" s="3"/>
      <c r="S495" s="3"/>
      <c r="T495" s="3"/>
      <c r="U495" s="3"/>
    </row>
    <row r="496">
      <c r="A496" s="3"/>
      <c r="B496" s="3"/>
      <c r="C496" s="3"/>
      <c r="D496" s="3"/>
      <c r="E496" s="4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4"/>
      <c r="R496" s="3"/>
      <c r="S496" s="3"/>
      <c r="T496" s="3"/>
      <c r="U496" s="3"/>
    </row>
    <row r="497">
      <c r="A497" s="3"/>
      <c r="B497" s="3"/>
      <c r="C497" s="3"/>
      <c r="D497" s="3"/>
      <c r="E497" s="4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4"/>
      <c r="R497" s="3"/>
      <c r="S497" s="3"/>
      <c r="T497" s="3"/>
      <c r="U497" s="3"/>
    </row>
    <row r="498">
      <c r="A498" s="3"/>
      <c r="B498" s="3"/>
      <c r="C498" s="3"/>
      <c r="D498" s="3"/>
      <c r="E498" s="4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4"/>
      <c r="R498" s="3"/>
      <c r="S498" s="3"/>
      <c r="T498" s="3"/>
      <c r="U498" s="3"/>
    </row>
    <row r="499">
      <c r="A499" s="3"/>
      <c r="B499" s="3"/>
      <c r="C499" s="3"/>
      <c r="D499" s="3"/>
      <c r="E499" s="4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4"/>
      <c r="R499" s="3"/>
      <c r="S499" s="3"/>
      <c r="T499" s="3"/>
      <c r="U499" s="3"/>
    </row>
    <row r="500">
      <c r="A500" s="3"/>
      <c r="B500" s="3"/>
      <c r="C500" s="3"/>
      <c r="D500" s="3"/>
      <c r="E500" s="4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4"/>
      <c r="R500" s="3"/>
      <c r="S500" s="3"/>
      <c r="T500" s="3"/>
      <c r="U500" s="3"/>
    </row>
    <row r="501">
      <c r="A501" s="3"/>
      <c r="B501" s="3"/>
      <c r="C501" s="3"/>
      <c r="D501" s="3"/>
      <c r="E501" s="4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4"/>
      <c r="R501" s="3"/>
      <c r="S501" s="3"/>
      <c r="T501" s="3"/>
      <c r="U501" s="3"/>
    </row>
    <row r="502">
      <c r="A502" s="3"/>
      <c r="B502" s="3"/>
      <c r="C502" s="3"/>
      <c r="D502" s="3"/>
      <c r="E502" s="4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4"/>
      <c r="R502" s="3"/>
      <c r="S502" s="3"/>
      <c r="T502" s="3"/>
      <c r="U502" s="3"/>
    </row>
    <row r="503">
      <c r="A503" s="3"/>
      <c r="B503" s="3"/>
      <c r="C503" s="3"/>
      <c r="D503" s="3"/>
      <c r="E503" s="4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4"/>
      <c r="R503" s="3"/>
      <c r="S503" s="3"/>
      <c r="T503" s="3"/>
      <c r="U503" s="3"/>
    </row>
    <row r="504">
      <c r="A504" s="3"/>
      <c r="B504" s="3"/>
      <c r="C504" s="3"/>
      <c r="D504" s="3"/>
      <c r="E504" s="4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4"/>
      <c r="R504" s="3"/>
      <c r="S504" s="3"/>
      <c r="T504" s="3"/>
      <c r="U504" s="3"/>
    </row>
    <row r="505">
      <c r="A505" s="3"/>
      <c r="B505" s="3"/>
      <c r="C505" s="3"/>
      <c r="D505" s="3"/>
      <c r="E505" s="4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4"/>
      <c r="R505" s="3"/>
      <c r="S505" s="3"/>
      <c r="T505" s="3"/>
      <c r="U505" s="3"/>
    </row>
    <row r="506">
      <c r="A506" s="3"/>
      <c r="B506" s="3"/>
      <c r="C506" s="3"/>
      <c r="D506" s="3"/>
      <c r="E506" s="4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4"/>
      <c r="R506" s="3"/>
      <c r="S506" s="3"/>
      <c r="T506" s="3"/>
      <c r="U506" s="3"/>
    </row>
    <row r="507">
      <c r="A507" s="3"/>
      <c r="B507" s="3"/>
      <c r="C507" s="3"/>
      <c r="D507" s="3"/>
      <c r="E507" s="4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4"/>
      <c r="R507" s="3"/>
      <c r="S507" s="3"/>
      <c r="T507" s="3"/>
      <c r="U507" s="3"/>
    </row>
    <row r="508">
      <c r="A508" s="3"/>
      <c r="B508" s="3"/>
      <c r="C508" s="3"/>
      <c r="D508" s="3"/>
      <c r="E508" s="4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4"/>
      <c r="R508" s="3"/>
      <c r="S508" s="3"/>
      <c r="T508" s="3"/>
      <c r="U508" s="3"/>
    </row>
    <row r="509">
      <c r="A509" s="3"/>
      <c r="B509" s="3"/>
      <c r="C509" s="3"/>
      <c r="D509" s="3"/>
      <c r="E509" s="4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4"/>
      <c r="R509" s="3"/>
      <c r="S509" s="3"/>
      <c r="T509" s="3"/>
      <c r="U509" s="3"/>
    </row>
    <row r="510">
      <c r="A510" s="3"/>
      <c r="B510" s="3"/>
      <c r="C510" s="3"/>
      <c r="D510" s="3"/>
      <c r="E510" s="4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4"/>
      <c r="R510" s="3"/>
      <c r="S510" s="3"/>
      <c r="T510" s="3"/>
      <c r="U510" s="3"/>
    </row>
    <row r="511">
      <c r="A511" s="3"/>
      <c r="B511" s="3"/>
      <c r="C511" s="3"/>
      <c r="D511" s="3"/>
      <c r="E511" s="4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4"/>
      <c r="R511" s="3"/>
      <c r="S511" s="3"/>
      <c r="T511" s="3"/>
      <c r="U511" s="3"/>
    </row>
    <row r="512">
      <c r="A512" s="3"/>
      <c r="B512" s="3"/>
      <c r="C512" s="3"/>
      <c r="D512" s="3"/>
      <c r="E512" s="4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4"/>
      <c r="R512" s="3"/>
      <c r="S512" s="3"/>
      <c r="T512" s="3"/>
      <c r="U512" s="3"/>
    </row>
    <row r="513">
      <c r="A513" s="3"/>
      <c r="B513" s="3"/>
      <c r="C513" s="3"/>
      <c r="D513" s="3"/>
      <c r="E513" s="4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4"/>
      <c r="R513" s="3"/>
      <c r="S513" s="3"/>
      <c r="T513" s="3"/>
      <c r="U513" s="3"/>
    </row>
    <row r="514">
      <c r="A514" s="3"/>
      <c r="B514" s="3"/>
      <c r="C514" s="3"/>
      <c r="D514" s="3"/>
      <c r="E514" s="4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4"/>
      <c r="R514" s="3"/>
      <c r="S514" s="3"/>
      <c r="T514" s="3"/>
      <c r="U514" s="3"/>
    </row>
    <row r="515">
      <c r="A515" s="3"/>
      <c r="B515" s="3"/>
      <c r="C515" s="3"/>
      <c r="D515" s="3"/>
      <c r="E515" s="4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4"/>
      <c r="R515" s="3"/>
      <c r="S515" s="3"/>
      <c r="T515" s="3"/>
      <c r="U515" s="3"/>
    </row>
    <row r="516">
      <c r="A516" s="3"/>
      <c r="B516" s="3"/>
      <c r="C516" s="3"/>
      <c r="D516" s="3"/>
      <c r="E516" s="4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4"/>
      <c r="R516" s="3"/>
      <c r="S516" s="3"/>
      <c r="T516" s="3"/>
      <c r="U516" s="3"/>
    </row>
    <row r="517">
      <c r="A517" s="3"/>
      <c r="B517" s="3"/>
      <c r="C517" s="3"/>
      <c r="D517" s="3"/>
      <c r="E517" s="4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4"/>
      <c r="R517" s="3"/>
      <c r="S517" s="3"/>
      <c r="T517" s="3"/>
      <c r="U517" s="3"/>
    </row>
    <row r="518">
      <c r="A518" s="3"/>
      <c r="B518" s="3"/>
      <c r="C518" s="3"/>
      <c r="D518" s="3"/>
      <c r="E518" s="4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4"/>
      <c r="R518" s="3"/>
      <c r="S518" s="3"/>
      <c r="T518" s="3"/>
      <c r="U518" s="3"/>
    </row>
    <row r="519">
      <c r="A519" s="3"/>
      <c r="B519" s="3"/>
      <c r="C519" s="3"/>
      <c r="D519" s="3"/>
      <c r="E519" s="4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4"/>
      <c r="R519" s="3"/>
      <c r="S519" s="3"/>
      <c r="T519" s="3"/>
      <c r="U519" s="3"/>
    </row>
    <row r="520">
      <c r="A520" s="3"/>
      <c r="B520" s="3"/>
      <c r="C520" s="3"/>
      <c r="D520" s="3"/>
      <c r="E520" s="4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4"/>
      <c r="R520" s="3"/>
      <c r="S520" s="3"/>
      <c r="T520" s="3"/>
      <c r="U520" s="3"/>
    </row>
    <row r="521">
      <c r="A521" s="3"/>
      <c r="B521" s="3"/>
      <c r="C521" s="3"/>
      <c r="D521" s="3"/>
      <c r="E521" s="4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4"/>
      <c r="R521" s="3"/>
      <c r="S521" s="3"/>
      <c r="T521" s="3"/>
      <c r="U521" s="3"/>
    </row>
    <row r="522">
      <c r="A522" s="3"/>
      <c r="B522" s="3"/>
      <c r="C522" s="3"/>
      <c r="D522" s="3"/>
      <c r="E522" s="4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4"/>
      <c r="R522" s="3"/>
      <c r="S522" s="3"/>
      <c r="T522" s="3"/>
      <c r="U522" s="3"/>
    </row>
    <row r="523">
      <c r="A523" s="3"/>
      <c r="B523" s="3"/>
      <c r="C523" s="3"/>
      <c r="D523" s="3"/>
      <c r="E523" s="4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4"/>
      <c r="R523" s="3"/>
      <c r="S523" s="3"/>
      <c r="T523" s="3"/>
      <c r="U523" s="3"/>
    </row>
    <row r="524">
      <c r="A524" s="3"/>
      <c r="B524" s="3"/>
      <c r="C524" s="3"/>
      <c r="D524" s="3"/>
      <c r="E524" s="4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4"/>
      <c r="R524" s="3"/>
      <c r="S524" s="3"/>
      <c r="T524" s="3"/>
      <c r="U524" s="3"/>
    </row>
    <row r="525">
      <c r="A525" s="3"/>
      <c r="B525" s="3"/>
      <c r="C525" s="3"/>
      <c r="D525" s="3"/>
      <c r="E525" s="4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4"/>
      <c r="R525" s="3"/>
      <c r="S525" s="3"/>
      <c r="T525" s="3"/>
      <c r="U525" s="3"/>
    </row>
    <row r="526">
      <c r="A526" s="3"/>
      <c r="B526" s="3"/>
      <c r="C526" s="3"/>
      <c r="D526" s="3"/>
      <c r="E526" s="4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4"/>
      <c r="R526" s="3"/>
      <c r="S526" s="3"/>
      <c r="T526" s="3"/>
      <c r="U526" s="3"/>
    </row>
    <row r="527">
      <c r="A527" s="3"/>
      <c r="B527" s="3"/>
      <c r="C527" s="3"/>
      <c r="D527" s="3"/>
      <c r="E527" s="4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4"/>
      <c r="R527" s="3"/>
      <c r="S527" s="3"/>
      <c r="T527" s="3"/>
      <c r="U527" s="3"/>
    </row>
    <row r="528">
      <c r="A528" s="3"/>
      <c r="B528" s="3"/>
      <c r="C528" s="3"/>
      <c r="D528" s="3"/>
      <c r="E528" s="4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4"/>
      <c r="R528" s="3"/>
      <c r="S528" s="3"/>
      <c r="T528" s="3"/>
      <c r="U528" s="3"/>
    </row>
    <row r="529">
      <c r="A529" s="3"/>
      <c r="B529" s="3"/>
      <c r="C529" s="3"/>
      <c r="D529" s="3"/>
      <c r="E529" s="4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4"/>
      <c r="R529" s="3"/>
      <c r="S529" s="3"/>
      <c r="T529" s="3"/>
      <c r="U529" s="3"/>
    </row>
    <row r="530">
      <c r="A530" s="3"/>
      <c r="B530" s="3"/>
      <c r="C530" s="3"/>
      <c r="D530" s="3"/>
      <c r="E530" s="4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4"/>
      <c r="R530" s="3"/>
      <c r="S530" s="3"/>
      <c r="T530" s="3"/>
      <c r="U530" s="3"/>
    </row>
    <row r="531">
      <c r="A531" s="3"/>
      <c r="B531" s="3"/>
      <c r="C531" s="3"/>
      <c r="D531" s="3"/>
      <c r="E531" s="4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4"/>
      <c r="R531" s="3"/>
      <c r="S531" s="3"/>
      <c r="T531" s="3"/>
      <c r="U531" s="3"/>
    </row>
    <row r="532">
      <c r="A532" s="3"/>
      <c r="B532" s="3"/>
      <c r="C532" s="3"/>
      <c r="D532" s="3"/>
      <c r="E532" s="4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4"/>
      <c r="R532" s="3"/>
      <c r="S532" s="3"/>
      <c r="T532" s="3"/>
      <c r="U532" s="3"/>
    </row>
    <row r="533">
      <c r="A533" s="3"/>
      <c r="B533" s="3"/>
      <c r="C533" s="3"/>
      <c r="D533" s="3"/>
      <c r="E533" s="4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4"/>
      <c r="R533" s="3"/>
      <c r="S533" s="3"/>
      <c r="T533" s="3"/>
      <c r="U533" s="3"/>
    </row>
    <row r="534">
      <c r="A534" s="3"/>
      <c r="B534" s="3"/>
      <c r="C534" s="3"/>
      <c r="D534" s="3"/>
      <c r="E534" s="4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4"/>
      <c r="R534" s="3"/>
      <c r="S534" s="3"/>
      <c r="T534" s="3"/>
      <c r="U534" s="3"/>
    </row>
    <row r="535">
      <c r="A535" s="3"/>
      <c r="B535" s="3"/>
      <c r="C535" s="3"/>
      <c r="D535" s="3"/>
      <c r="E535" s="4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4"/>
      <c r="R535" s="3"/>
      <c r="S535" s="3"/>
      <c r="T535" s="3"/>
      <c r="U535" s="3"/>
    </row>
    <row r="536">
      <c r="A536" s="3"/>
      <c r="B536" s="3"/>
      <c r="C536" s="3"/>
      <c r="D536" s="3"/>
      <c r="E536" s="4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4"/>
      <c r="R536" s="3"/>
      <c r="S536" s="3"/>
      <c r="T536" s="3"/>
      <c r="U536" s="3"/>
    </row>
    <row r="537">
      <c r="A537" s="3"/>
      <c r="B537" s="3"/>
      <c r="C537" s="3"/>
      <c r="D537" s="3"/>
      <c r="E537" s="4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4"/>
      <c r="R537" s="3"/>
      <c r="S537" s="3"/>
      <c r="T537" s="3"/>
      <c r="U537" s="3"/>
    </row>
    <row r="538">
      <c r="A538" s="3"/>
      <c r="B538" s="3"/>
      <c r="C538" s="3"/>
      <c r="D538" s="3"/>
      <c r="E538" s="4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4"/>
      <c r="R538" s="3"/>
      <c r="S538" s="3"/>
      <c r="T538" s="3"/>
      <c r="U538" s="3"/>
    </row>
    <row r="539">
      <c r="A539" s="3"/>
      <c r="B539" s="3"/>
      <c r="C539" s="3"/>
      <c r="D539" s="3"/>
      <c r="E539" s="4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4"/>
      <c r="R539" s="3"/>
      <c r="S539" s="3"/>
      <c r="T539" s="3"/>
      <c r="U539" s="3"/>
    </row>
    <row r="540">
      <c r="A540" s="3"/>
      <c r="B540" s="3"/>
      <c r="C540" s="3"/>
      <c r="D540" s="3"/>
      <c r="E540" s="4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4"/>
      <c r="R540" s="3"/>
      <c r="S540" s="3"/>
      <c r="T540" s="3"/>
      <c r="U540" s="3"/>
    </row>
    <row r="541">
      <c r="A541" s="3"/>
      <c r="B541" s="3"/>
      <c r="C541" s="3"/>
      <c r="D541" s="3"/>
      <c r="E541" s="4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4"/>
      <c r="R541" s="3"/>
      <c r="S541" s="3"/>
      <c r="T541" s="3"/>
      <c r="U541" s="3"/>
    </row>
    <row r="542">
      <c r="A542" s="3"/>
      <c r="B542" s="3"/>
      <c r="C542" s="3"/>
      <c r="D542" s="3"/>
      <c r="E542" s="4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4"/>
      <c r="R542" s="3"/>
      <c r="S542" s="3"/>
      <c r="T542" s="3"/>
      <c r="U542" s="3"/>
    </row>
    <row r="543">
      <c r="A543" s="3"/>
      <c r="B543" s="3"/>
      <c r="C543" s="3"/>
      <c r="D543" s="3"/>
      <c r="E543" s="4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4"/>
      <c r="R543" s="3"/>
      <c r="S543" s="3"/>
      <c r="T543" s="3"/>
      <c r="U543" s="3"/>
    </row>
    <row r="544">
      <c r="A544" s="3"/>
      <c r="B544" s="3"/>
      <c r="C544" s="3"/>
      <c r="D544" s="3"/>
      <c r="E544" s="4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4"/>
      <c r="R544" s="3"/>
      <c r="S544" s="3"/>
      <c r="T544" s="3"/>
      <c r="U544" s="3"/>
    </row>
    <row r="545">
      <c r="A545" s="3"/>
      <c r="B545" s="3"/>
      <c r="C545" s="3"/>
      <c r="D545" s="3"/>
      <c r="E545" s="4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4"/>
      <c r="R545" s="3"/>
      <c r="S545" s="3"/>
      <c r="T545" s="3"/>
      <c r="U545" s="3"/>
    </row>
    <row r="546">
      <c r="A546" s="3"/>
      <c r="B546" s="3"/>
      <c r="C546" s="3"/>
      <c r="D546" s="3"/>
      <c r="E546" s="4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4"/>
      <c r="R546" s="3"/>
      <c r="S546" s="3"/>
      <c r="T546" s="3"/>
      <c r="U546" s="3"/>
    </row>
    <row r="547">
      <c r="A547" s="3"/>
      <c r="B547" s="3"/>
      <c r="C547" s="3"/>
      <c r="D547" s="3"/>
      <c r="E547" s="4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4"/>
      <c r="R547" s="3"/>
      <c r="S547" s="3"/>
      <c r="T547" s="3"/>
      <c r="U547" s="3"/>
    </row>
    <row r="548">
      <c r="A548" s="3"/>
      <c r="B548" s="3"/>
      <c r="C548" s="3"/>
      <c r="D548" s="3"/>
      <c r="E548" s="4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4"/>
      <c r="R548" s="3"/>
      <c r="S548" s="3"/>
      <c r="T548" s="3"/>
      <c r="U548" s="3"/>
    </row>
    <row r="549">
      <c r="A549" s="3"/>
      <c r="B549" s="3"/>
      <c r="C549" s="3"/>
      <c r="D549" s="3"/>
      <c r="E549" s="4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4"/>
      <c r="R549" s="3"/>
      <c r="S549" s="3"/>
      <c r="T549" s="3"/>
      <c r="U549" s="3"/>
    </row>
    <row r="550">
      <c r="A550" s="3"/>
      <c r="B550" s="3"/>
      <c r="C550" s="3"/>
      <c r="D550" s="3"/>
      <c r="E550" s="4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4"/>
      <c r="R550" s="3"/>
      <c r="S550" s="3"/>
      <c r="T550" s="3"/>
      <c r="U550" s="3"/>
    </row>
    <row r="551">
      <c r="A551" s="3"/>
      <c r="B551" s="3"/>
      <c r="C551" s="3"/>
      <c r="D551" s="3"/>
      <c r="E551" s="4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4"/>
      <c r="R551" s="3"/>
      <c r="S551" s="3"/>
      <c r="T551" s="3"/>
      <c r="U551" s="3"/>
    </row>
    <row r="552">
      <c r="A552" s="3"/>
      <c r="B552" s="3"/>
      <c r="C552" s="3"/>
      <c r="D552" s="3"/>
      <c r="E552" s="4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4"/>
      <c r="R552" s="3"/>
      <c r="S552" s="3"/>
      <c r="T552" s="3"/>
      <c r="U552" s="3"/>
    </row>
    <row r="553">
      <c r="A553" s="3"/>
      <c r="B553" s="3"/>
      <c r="C553" s="3"/>
      <c r="D553" s="3"/>
      <c r="E553" s="4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4"/>
      <c r="R553" s="3"/>
      <c r="S553" s="3"/>
      <c r="T553" s="3"/>
      <c r="U553" s="3"/>
    </row>
    <row r="554">
      <c r="A554" s="3"/>
      <c r="B554" s="3"/>
      <c r="C554" s="3"/>
      <c r="D554" s="3"/>
      <c r="E554" s="4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4"/>
      <c r="R554" s="3"/>
      <c r="S554" s="3"/>
      <c r="T554" s="3"/>
      <c r="U554" s="3"/>
    </row>
    <row r="555">
      <c r="A555" s="3"/>
      <c r="B555" s="3"/>
      <c r="C555" s="3"/>
      <c r="D555" s="3"/>
      <c r="E555" s="4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4"/>
      <c r="R555" s="3"/>
      <c r="S555" s="3"/>
      <c r="T555" s="3"/>
      <c r="U555" s="3"/>
    </row>
    <row r="556">
      <c r="A556" s="3"/>
      <c r="B556" s="3"/>
      <c r="C556" s="3"/>
      <c r="D556" s="3"/>
      <c r="E556" s="4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4"/>
      <c r="R556" s="3"/>
      <c r="S556" s="3"/>
      <c r="T556" s="3"/>
      <c r="U556" s="3"/>
    </row>
    <row r="557">
      <c r="A557" s="3"/>
      <c r="B557" s="3"/>
      <c r="C557" s="3"/>
      <c r="D557" s="3"/>
      <c r="E557" s="4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4"/>
      <c r="R557" s="3"/>
      <c r="S557" s="3"/>
      <c r="T557" s="3"/>
      <c r="U557" s="3"/>
    </row>
    <row r="558">
      <c r="A558" s="3"/>
      <c r="B558" s="3"/>
      <c r="C558" s="3"/>
      <c r="D558" s="3"/>
      <c r="E558" s="4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4"/>
      <c r="R558" s="3"/>
      <c r="S558" s="3"/>
      <c r="T558" s="3"/>
      <c r="U558" s="3"/>
    </row>
    <row r="559">
      <c r="A559" s="3"/>
      <c r="B559" s="3"/>
      <c r="C559" s="3"/>
      <c r="D559" s="3"/>
      <c r="E559" s="4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4"/>
      <c r="R559" s="3"/>
      <c r="S559" s="3"/>
      <c r="T559" s="3"/>
      <c r="U559" s="3"/>
    </row>
    <row r="560">
      <c r="A560" s="3"/>
      <c r="B560" s="3"/>
      <c r="C560" s="3"/>
      <c r="D560" s="3"/>
      <c r="E560" s="4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4"/>
      <c r="R560" s="3"/>
      <c r="S560" s="3"/>
      <c r="T560" s="3"/>
      <c r="U560" s="3"/>
    </row>
    <row r="561">
      <c r="A561" s="3"/>
      <c r="B561" s="3"/>
      <c r="C561" s="3"/>
      <c r="D561" s="3"/>
      <c r="E561" s="4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4"/>
      <c r="R561" s="3"/>
      <c r="S561" s="3"/>
      <c r="T561" s="3"/>
      <c r="U561" s="3"/>
    </row>
    <row r="562">
      <c r="A562" s="3"/>
      <c r="B562" s="3"/>
      <c r="C562" s="3"/>
      <c r="D562" s="3"/>
      <c r="E562" s="4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4"/>
      <c r="R562" s="3"/>
      <c r="S562" s="3"/>
      <c r="T562" s="3"/>
      <c r="U562" s="3"/>
    </row>
    <row r="563">
      <c r="A563" s="3"/>
      <c r="B563" s="3"/>
      <c r="C563" s="3"/>
      <c r="D563" s="3"/>
      <c r="E563" s="4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4"/>
      <c r="R563" s="3"/>
      <c r="S563" s="3"/>
      <c r="T563" s="3"/>
      <c r="U563" s="3"/>
    </row>
    <row r="564">
      <c r="A564" s="3"/>
      <c r="B564" s="3"/>
      <c r="C564" s="3"/>
      <c r="D564" s="3"/>
      <c r="E564" s="4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4"/>
      <c r="R564" s="3"/>
      <c r="S564" s="3"/>
      <c r="T564" s="3"/>
      <c r="U564" s="3"/>
    </row>
    <row r="565">
      <c r="A565" s="3"/>
      <c r="B565" s="3"/>
      <c r="C565" s="3"/>
      <c r="D565" s="3"/>
      <c r="E565" s="4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4"/>
      <c r="R565" s="3"/>
      <c r="S565" s="3"/>
      <c r="T565" s="3"/>
      <c r="U565" s="3"/>
    </row>
    <row r="566">
      <c r="A566" s="3"/>
      <c r="B566" s="3"/>
      <c r="C566" s="3"/>
      <c r="D566" s="3"/>
      <c r="E566" s="4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4"/>
      <c r="R566" s="3"/>
      <c r="S566" s="3"/>
      <c r="T566" s="3"/>
      <c r="U566" s="3"/>
    </row>
    <row r="567">
      <c r="A567" s="3"/>
      <c r="B567" s="3"/>
      <c r="C567" s="3"/>
      <c r="D567" s="3"/>
      <c r="E567" s="4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4"/>
      <c r="R567" s="3"/>
      <c r="S567" s="3"/>
      <c r="T567" s="3"/>
      <c r="U567" s="3"/>
    </row>
    <row r="568">
      <c r="A568" s="3"/>
      <c r="B568" s="3"/>
      <c r="C568" s="3"/>
      <c r="D568" s="3"/>
      <c r="E568" s="4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4"/>
      <c r="R568" s="3"/>
      <c r="S568" s="3"/>
      <c r="T568" s="3"/>
      <c r="U568" s="3"/>
    </row>
    <row r="569">
      <c r="A569" s="3"/>
      <c r="B569" s="3"/>
      <c r="C569" s="3"/>
      <c r="D569" s="3"/>
      <c r="E569" s="4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4"/>
      <c r="R569" s="3"/>
      <c r="S569" s="3"/>
      <c r="T569" s="3"/>
      <c r="U569" s="3"/>
    </row>
    <row r="570">
      <c r="A570" s="3"/>
      <c r="B570" s="3"/>
      <c r="C570" s="3"/>
      <c r="D570" s="3"/>
      <c r="E570" s="4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4"/>
      <c r="R570" s="3"/>
      <c r="S570" s="3"/>
      <c r="T570" s="3"/>
      <c r="U570" s="3"/>
    </row>
    <row r="571">
      <c r="A571" s="3"/>
      <c r="B571" s="3"/>
      <c r="C571" s="3"/>
      <c r="D571" s="3"/>
      <c r="E571" s="4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4"/>
      <c r="R571" s="3"/>
      <c r="S571" s="3"/>
      <c r="T571" s="3"/>
      <c r="U571" s="3"/>
    </row>
    <row r="572">
      <c r="A572" s="3"/>
      <c r="B572" s="3"/>
      <c r="C572" s="3"/>
      <c r="D572" s="3"/>
      <c r="E572" s="4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4"/>
      <c r="R572" s="3"/>
      <c r="S572" s="3"/>
      <c r="T572" s="3"/>
      <c r="U572" s="3"/>
    </row>
    <row r="573">
      <c r="A573" s="3"/>
      <c r="B573" s="3"/>
      <c r="C573" s="3"/>
      <c r="D573" s="3"/>
      <c r="E573" s="4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4"/>
      <c r="R573" s="3"/>
      <c r="S573" s="3"/>
      <c r="T573" s="3"/>
      <c r="U573" s="3"/>
    </row>
    <row r="574">
      <c r="A574" s="3"/>
      <c r="B574" s="3"/>
      <c r="C574" s="3"/>
      <c r="D574" s="3"/>
      <c r="E574" s="4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4"/>
      <c r="R574" s="3"/>
      <c r="S574" s="3"/>
      <c r="T574" s="3"/>
      <c r="U574" s="3"/>
    </row>
    <row r="575">
      <c r="A575" s="3"/>
      <c r="B575" s="3"/>
      <c r="C575" s="3"/>
      <c r="D575" s="3"/>
      <c r="E575" s="4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4"/>
      <c r="R575" s="3"/>
      <c r="S575" s="3"/>
      <c r="T575" s="3"/>
      <c r="U575" s="3"/>
    </row>
    <row r="576">
      <c r="A576" s="3"/>
      <c r="B576" s="3"/>
      <c r="C576" s="3"/>
      <c r="D576" s="3"/>
      <c r="E576" s="4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4"/>
      <c r="R576" s="3"/>
      <c r="S576" s="3"/>
      <c r="T576" s="3"/>
      <c r="U576" s="3"/>
    </row>
    <row r="577">
      <c r="A577" s="3"/>
      <c r="B577" s="3"/>
      <c r="C577" s="3"/>
      <c r="D577" s="3"/>
      <c r="E577" s="4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4"/>
      <c r="R577" s="3"/>
      <c r="S577" s="3"/>
      <c r="T577" s="3"/>
      <c r="U577" s="3"/>
    </row>
    <row r="578">
      <c r="A578" s="3"/>
      <c r="B578" s="3"/>
      <c r="C578" s="3"/>
      <c r="D578" s="3"/>
      <c r="E578" s="4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4"/>
      <c r="R578" s="3"/>
      <c r="S578" s="3"/>
      <c r="T578" s="3"/>
      <c r="U578" s="3"/>
    </row>
    <row r="579">
      <c r="A579" s="3"/>
      <c r="B579" s="3"/>
      <c r="C579" s="3"/>
      <c r="D579" s="3"/>
      <c r="E579" s="4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4"/>
      <c r="R579" s="3"/>
      <c r="S579" s="3"/>
      <c r="T579" s="3"/>
      <c r="U579" s="3"/>
    </row>
    <row r="580">
      <c r="A580" s="3"/>
      <c r="B580" s="3"/>
      <c r="C580" s="3"/>
      <c r="D580" s="3"/>
      <c r="E580" s="4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4"/>
      <c r="R580" s="3"/>
      <c r="S580" s="3"/>
      <c r="T580" s="3"/>
      <c r="U580" s="3"/>
    </row>
    <row r="581">
      <c r="A581" s="3"/>
      <c r="B581" s="3"/>
      <c r="C581" s="3"/>
      <c r="D581" s="3"/>
      <c r="E581" s="4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4"/>
      <c r="R581" s="3"/>
      <c r="S581" s="3"/>
      <c r="T581" s="3"/>
      <c r="U581" s="3"/>
    </row>
    <row r="582">
      <c r="A582" s="3"/>
      <c r="B582" s="3"/>
      <c r="C582" s="3"/>
      <c r="D582" s="3"/>
      <c r="E582" s="4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4"/>
      <c r="R582" s="3"/>
      <c r="S582" s="3"/>
      <c r="T582" s="3"/>
      <c r="U582" s="3"/>
    </row>
    <row r="583">
      <c r="A583" s="3"/>
      <c r="B583" s="3"/>
      <c r="C583" s="3"/>
      <c r="D583" s="3"/>
      <c r="E583" s="4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4"/>
      <c r="R583" s="3"/>
      <c r="S583" s="3"/>
      <c r="T583" s="3"/>
      <c r="U583" s="3"/>
    </row>
    <row r="584">
      <c r="A584" s="3"/>
      <c r="B584" s="3"/>
      <c r="C584" s="3"/>
      <c r="D584" s="3"/>
      <c r="E584" s="4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4"/>
      <c r="R584" s="3"/>
      <c r="S584" s="3"/>
      <c r="T584" s="3"/>
      <c r="U584" s="3"/>
    </row>
    <row r="585">
      <c r="A585" s="3"/>
      <c r="B585" s="3"/>
      <c r="C585" s="3"/>
      <c r="D585" s="3"/>
      <c r="E585" s="4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4"/>
      <c r="R585" s="3"/>
      <c r="S585" s="3"/>
      <c r="T585" s="3"/>
      <c r="U585" s="3"/>
    </row>
    <row r="586">
      <c r="A586" s="3"/>
      <c r="B586" s="3"/>
      <c r="C586" s="3"/>
      <c r="D586" s="3"/>
      <c r="E586" s="4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4"/>
      <c r="R586" s="3"/>
      <c r="S586" s="3"/>
      <c r="T586" s="3"/>
      <c r="U586" s="3"/>
    </row>
    <row r="587">
      <c r="A587" s="3"/>
      <c r="B587" s="3"/>
      <c r="C587" s="3"/>
      <c r="D587" s="3"/>
      <c r="E587" s="4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4"/>
      <c r="R587" s="3"/>
      <c r="S587" s="3"/>
      <c r="T587" s="3"/>
      <c r="U587" s="3"/>
    </row>
    <row r="588">
      <c r="A588" s="3"/>
      <c r="B588" s="3"/>
      <c r="C588" s="3"/>
      <c r="D588" s="3"/>
      <c r="E588" s="4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4"/>
      <c r="R588" s="3"/>
      <c r="S588" s="3"/>
      <c r="T588" s="3"/>
      <c r="U588" s="3"/>
    </row>
    <row r="589">
      <c r="A589" s="3"/>
      <c r="B589" s="3"/>
      <c r="C589" s="3"/>
      <c r="D589" s="3"/>
      <c r="E589" s="4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4"/>
      <c r="R589" s="3"/>
      <c r="S589" s="3"/>
      <c r="T589" s="3"/>
      <c r="U589" s="3"/>
    </row>
    <row r="590">
      <c r="A590" s="3"/>
      <c r="B590" s="3"/>
      <c r="C590" s="3"/>
      <c r="D590" s="3"/>
      <c r="E590" s="4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4"/>
      <c r="R590" s="3"/>
      <c r="S590" s="3"/>
      <c r="T590" s="3"/>
      <c r="U590" s="3"/>
    </row>
    <row r="591">
      <c r="A591" s="3"/>
      <c r="B591" s="3"/>
      <c r="C591" s="3"/>
      <c r="D591" s="3"/>
      <c r="E591" s="4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4"/>
      <c r="R591" s="3"/>
      <c r="S591" s="3"/>
      <c r="T591" s="3"/>
      <c r="U591" s="3"/>
    </row>
    <row r="592">
      <c r="A592" s="3"/>
      <c r="B592" s="3"/>
      <c r="C592" s="3"/>
      <c r="D592" s="3"/>
      <c r="E592" s="4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4"/>
      <c r="R592" s="3"/>
      <c r="S592" s="3"/>
      <c r="T592" s="3"/>
      <c r="U592" s="3"/>
    </row>
    <row r="593">
      <c r="A593" s="3"/>
      <c r="B593" s="3"/>
      <c r="C593" s="3"/>
      <c r="D593" s="3"/>
      <c r="E593" s="4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4"/>
      <c r="R593" s="3"/>
      <c r="S593" s="3"/>
      <c r="T593" s="3"/>
      <c r="U593" s="3"/>
    </row>
    <row r="594">
      <c r="A594" s="3"/>
      <c r="B594" s="3"/>
      <c r="C594" s="3"/>
      <c r="D594" s="3"/>
      <c r="E594" s="4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4"/>
      <c r="R594" s="3"/>
      <c r="S594" s="3"/>
      <c r="T594" s="3"/>
      <c r="U594" s="3"/>
    </row>
    <row r="595">
      <c r="A595" s="3"/>
      <c r="B595" s="3"/>
      <c r="C595" s="3"/>
      <c r="D595" s="3"/>
      <c r="E595" s="4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4"/>
      <c r="R595" s="3"/>
      <c r="S595" s="3"/>
      <c r="T595" s="3"/>
      <c r="U595" s="3"/>
    </row>
    <row r="596">
      <c r="A596" s="3"/>
      <c r="B596" s="3"/>
      <c r="C596" s="3"/>
      <c r="D596" s="3"/>
      <c r="E596" s="4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4"/>
      <c r="R596" s="3"/>
      <c r="S596" s="3"/>
      <c r="T596" s="3"/>
      <c r="U596" s="3"/>
    </row>
    <row r="597">
      <c r="A597" s="3"/>
      <c r="B597" s="3"/>
      <c r="C597" s="3"/>
      <c r="D597" s="3"/>
      <c r="E597" s="4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4"/>
      <c r="R597" s="3"/>
      <c r="S597" s="3"/>
      <c r="T597" s="3"/>
      <c r="U597" s="3"/>
    </row>
    <row r="598">
      <c r="A598" s="3"/>
      <c r="B598" s="3"/>
      <c r="C598" s="3"/>
      <c r="D598" s="3"/>
      <c r="E598" s="4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4"/>
      <c r="R598" s="3"/>
      <c r="S598" s="3"/>
      <c r="T598" s="3"/>
      <c r="U598" s="3"/>
    </row>
    <row r="599">
      <c r="A599" s="3"/>
      <c r="B599" s="3"/>
      <c r="C599" s="3"/>
      <c r="D599" s="3"/>
      <c r="E599" s="4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4"/>
      <c r="R599" s="3"/>
      <c r="S599" s="3"/>
      <c r="T599" s="3"/>
      <c r="U599" s="3"/>
    </row>
    <row r="600">
      <c r="A600" s="3"/>
      <c r="B600" s="3"/>
      <c r="C600" s="3"/>
      <c r="D600" s="3"/>
      <c r="E600" s="4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4"/>
      <c r="R600" s="3"/>
      <c r="S600" s="3"/>
      <c r="T600" s="3"/>
      <c r="U600" s="3"/>
    </row>
    <row r="601">
      <c r="A601" s="3"/>
      <c r="B601" s="3"/>
      <c r="C601" s="3"/>
      <c r="D601" s="3"/>
      <c r="E601" s="4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4"/>
      <c r="R601" s="3"/>
      <c r="S601" s="3"/>
      <c r="T601" s="3"/>
      <c r="U601" s="3"/>
    </row>
    <row r="602">
      <c r="A602" s="3"/>
      <c r="B602" s="3"/>
      <c r="C602" s="3"/>
      <c r="D602" s="3"/>
      <c r="E602" s="4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4"/>
      <c r="R602" s="3"/>
      <c r="S602" s="3"/>
      <c r="T602" s="3"/>
      <c r="U602" s="3"/>
    </row>
    <row r="603">
      <c r="A603" s="3"/>
      <c r="B603" s="3"/>
      <c r="C603" s="3"/>
      <c r="D603" s="3"/>
      <c r="E603" s="4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4"/>
      <c r="R603" s="3"/>
      <c r="S603" s="3"/>
      <c r="T603" s="3"/>
      <c r="U603" s="3"/>
    </row>
    <row r="604">
      <c r="A604" s="3"/>
      <c r="B604" s="3"/>
      <c r="C604" s="3"/>
      <c r="D604" s="3"/>
      <c r="E604" s="4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4"/>
      <c r="R604" s="3"/>
      <c r="S604" s="3"/>
      <c r="T604" s="3"/>
      <c r="U604" s="3"/>
    </row>
    <row r="605">
      <c r="A605" s="3"/>
      <c r="B605" s="3"/>
      <c r="C605" s="3"/>
      <c r="D605" s="3"/>
      <c r="E605" s="4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4"/>
      <c r="R605" s="3"/>
      <c r="S605" s="3"/>
      <c r="T605" s="3"/>
      <c r="U605" s="3"/>
    </row>
    <row r="606">
      <c r="A606" s="3"/>
      <c r="B606" s="3"/>
      <c r="C606" s="3"/>
      <c r="D606" s="3"/>
      <c r="E606" s="4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4"/>
      <c r="R606" s="3"/>
      <c r="S606" s="3"/>
      <c r="T606" s="3"/>
      <c r="U606" s="3"/>
    </row>
    <row r="607">
      <c r="A607" s="3"/>
      <c r="B607" s="3"/>
      <c r="C607" s="3"/>
      <c r="D607" s="3"/>
      <c r="E607" s="4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4"/>
      <c r="R607" s="3"/>
      <c r="S607" s="3"/>
      <c r="T607" s="3"/>
      <c r="U607" s="3"/>
    </row>
    <row r="608">
      <c r="A608" s="3"/>
      <c r="B608" s="3"/>
      <c r="C608" s="3"/>
      <c r="D608" s="3"/>
      <c r="E608" s="4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4"/>
      <c r="R608" s="3"/>
      <c r="S608" s="3"/>
      <c r="T608" s="3"/>
      <c r="U608" s="3"/>
    </row>
    <row r="609">
      <c r="A609" s="3"/>
      <c r="B609" s="3"/>
      <c r="C609" s="3"/>
      <c r="D609" s="3"/>
      <c r="E609" s="4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4"/>
      <c r="R609" s="3"/>
      <c r="S609" s="3"/>
      <c r="T609" s="3"/>
      <c r="U609" s="3"/>
    </row>
    <row r="610">
      <c r="A610" s="3"/>
      <c r="B610" s="3"/>
      <c r="C610" s="3"/>
      <c r="D610" s="3"/>
      <c r="E610" s="4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4"/>
      <c r="R610" s="3"/>
      <c r="S610" s="3"/>
      <c r="T610" s="3"/>
      <c r="U610" s="3"/>
    </row>
    <row r="611">
      <c r="A611" s="3"/>
      <c r="B611" s="3"/>
      <c r="C611" s="3"/>
      <c r="D611" s="3"/>
      <c r="E611" s="4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4"/>
      <c r="R611" s="3"/>
      <c r="S611" s="3"/>
      <c r="T611" s="3"/>
      <c r="U611" s="3"/>
    </row>
    <row r="612">
      <c r="A612" s="3"/>
      <c r="B612" s="3"/>
      <c r="C612" s="3"/>
      <c r="D612" s="3"/>
      <c r="E612" s="4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4"/>
      <c r="R612" s="3"/>
      <c r="S612" s="3"/>
      <c r="T612" s="3"/>
      <c r="U612" s="3"/>
    </row>
    <row r="613">
      <c r="A613" s="3"/>
      <c r="B613" s="3"/>
      <c r="C613" s="3"/>
      <c r="D613" s="3"/>
      <c r="E613" s="4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4"/>
      <c r="R613" s="3"/>
      <c r="S613" s="3"/>
      <c r="T613" s="3"/>
      <c r="U613" s="3"/>
    </row>
    <row r="614">
      <c r="A614" s="3"/>
      <c r="B614" s="3"/>
      <c r="C614" s="3"/>
      <c r="D614" s="3"/>
      <c r="E614" s="4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4"/>
      <c r="R614" s="3"/>
      <c r="S614" s="3"/>
      <c r="T614" s="3"/>
      <c r="U614" s="3"/>
    </row>
    <row r="615">
      <c r="A615" s="3"/>
      <c r="B615" s="3"/>
      <c r="C615" s="3"/>
      <c r="D615" s="3"/>
      <c r="E615" s="4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4"/>
      <c r="R615" s="3"/>
      <c r="S615" s="3"/>
      <c r="T615" s="3"/>
      <c r="U615" s="3"/>
    </row>
    <row r="616">
      <c r="A616" s="3"/>
      <c r="B616" s="3"/>
      <c r="C616" s="3"/>
      <c r="D616" s="3"/>
      <c r="E616" s="4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4"/>
      <c r="R616" s="3"/>
      <c r="S616" s="3"/>
      <c r="T616" s="3"/>
      <c r="U616" s="3"/>
    </row>
    <row r="617">
      <c r="A617" s="3"/>
      <c r="B617" s="3"/>
      <c r="C617" s="3"/>
      <c r="D617" s="3"/>
      <c r="E617" s="4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4"/>
      <c r="R617" s="3"/>
      <c r="S617" s="3"/>
      <c r="T617" s="3"/>
      <c r="U617" s="3"/>
    </row>
    <row r="618">
      <c r="A618" s="3"/>
      <c r="B618" s="3"/>
      <c r="C618" s="3"/>
      <c r="D618" s="3"/>
      <c r="E618" s="4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4"/>
      <c r="R618" s="3"/>
      <c r="S618" s="3"/>
      <c r="T618" s="3"/>
      <c r="U618" s="3"/>
    </row>
    <row r="619">
      <c r="A619" s="3"/>
      <c r="B619" s="3"/>
      <c r="C619" s="3"/>
      <c r="D619" s="3"/>
      <c r="E619" s="4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4"/>
      <c r="R619" s="3"/>
      <c r="S619" s="3"/>
      <c r="T619" s="3"/>
      <c r="U619" s="3"/>
    </row>
    <row r="620">
      <c r="A620" s="3"/>
      <c r="B620" s="3"/>
      <c r="C620" s="3"/>
      <c r="D620" s="3"/>
      <c r="E620" s="4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4"/>
      <c r="R620" s="3"/>
      <c r="S620" s="3"/>
      <c r="T620" s="3"/>
      <c r="U620" s="3"/>
    </row>
    <row r="621">
      <c r="A621" s="3"/>
      <c r="B621" s="3"/>
      <c r="C621" s="3"/>
      <c r="D621" s="3"/>
      <c r="E621" s="4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4"/>
      <c r="R621" s="3"/>
      <c r="S621" s="3"/>
      <c r="T621" s="3"/>
      <c r="U621" s="3"/>
    </row>
    <row r="622">
      <c r="A622" s="3"/>
      <c r="B622" s="3"/>
      <c r="C622" s="3"/>
      <c r="D622" s="3"/>
      <c r="E622" s="4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4"/>
      <c r="R622" s="3"/>
      <c r="S622" s="3"/>
      <c r="T622" s="3"/>
      <c r="U622" s="3"/>
    </row>
    <row r="623">
      <c r="A623" s="3"/>
      <c r="B623" s="3"/>
      <c r="C623" s="3"/>
      <c r="D623" s="3"/>
      <c r="E623" s="4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4"/>
      <c r="R623" s="3"/>
      <c r="S623" s="3"/>
      <c r="T623" s="3"/>
      <c r="U623" s="3"/>
    </row>
    <row r="624">
      <c r="A624" s="3"/>
      <c r="B624" s="3"/>
      <c r="C624" s="3"/>
      <c r="D624" s="3"/>
      <c r="E624" s="4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4"/>
      <c r="R624" s="3"/>
      <c r="S624" s="3"/>
      <c r="T624" s="3"/>
      <c r="U624" s="3"/>
    </row>
    <row r="625">
      <c r="A625" s="3"/>
      <c r="B625" s="3"/>
      <c r="C625" s="3"/>
      <c r="D625" s="3"/>
      <c r="E625" s="4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4"/>
      <c r="R625" s="3"/>
      <c r="S625" s="3"/>
      <c r="T625" s="3"/>
      <c r="U625" s="3"/>
    </row>
    <row r="626">
      <c r="A626" s="3"/>
      <c r="B626" s="3"/>
      <c r="C626" s="3"/>
      <c r="D626" s="3"/>
      <c r="E626" s="4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4"/>
      <c r="R626" s="3"/>
      <c r="S626" s="3"/>
      <c r="T626" s="3"/>
      <c r="U626" s="3"/>
    </row>
    <row r="627">
      <c r="A627" s="3"/>
      <c r="B627" s="3"/>
      <c r="C627" s="3"/>
      <c r="D627" s="3"/>
      <c r="E627" s="4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4"/>
      <c r="R627" s="3"/>
      <c r="S627" s="3"/>
      <c r="T627" s="3"/>
      <c r="U627" s="3"/>
    </row>
    <row r="628">
      <c r="A628" s="3"/>
      <c r="B628" s="3"/>
      <c r="C628" s="3"/>
      <c r="D628" s="3"/>
      <c r="E628" s="4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4"/>
      <c r="R628" s="3"/>
      <c r="S628" s="3"/>
      <c r="T628" s="3"/>
      <c r="U628" s="3"/>
    </row>
    <row r="629">
      <c r="A629" s="3"/>
      <c r="B629" s="3"/>
      <c r="C629" s="3"/>
      <c r="D629" s="3"/>
      <c r="E629" s="4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4"/>
      <c r="R629" s="3"/>
      <c r="S629" s="3"/>
      <c r="T629" s="3"/>
      <c r="U629" s="3"/>
    </row>
    <row r="630">
      <c r="A630" s="3"/>
      <c r="B630" s="3"/>
      <c r="C630" s="3"/>
      <c r="D630" s="3"/>
      <c r="E630" s="4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4"/>
      <c r="R630" s="3"/>
      <c r="S630" s="3"/>
      <c r="T630" s="3"/>
      <c r="U630" s="3"/>
    </row>
    <row r="631">
      <c r="A631" s="3"/>
      <c r="B631" s="3"/>
      <c r="C631" s="3"/>
      <c r="D631" s="3"/>
      <c r="E631" s="4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4"/>
      <c r="R631" s="3"/>
      <c r="S631" s="3"/>
      <c r="T631" s="3"/>
      <c r="U631" s="3"/>
    </row>
    <row r="632">
      <c r="A632" s="3"/>
      <c r="B632" s="3"/>
      <c r="C632" s="3"/>
      <c r="D632" s="3"/>
      <c r="E632" s="4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4"/>
      <c r="R632" s="3"/>
      <c r="S632" s="3"/>
      <c r="T632" s="3"/>
      <c r="U632" s="3"/>
    </row>
    <row r="633">
      <c r="A633" s="3"/>
      <c r="B633" s="3"/>
      <c r="C633" s="3"/>
      <c r="D633" s="3"/>
      <c r="E633" s="4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4"/>
      <c r="R633" s="3"/>
      <c r="S633" s="3"/>
      <c r="T633" s="3"/>
      <c r="U633" s="3"/>
    </row>
    <row r="634">
      <c r="A634" s="3"/>
      <c r="B634" s="3"/>
      <c r="C634" s="3"/>
      <c r="D634" s="3"/>
      <c r="E634" s="4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4"/>
      <c r="R634" s="3"/>
      <c r="S634" s="3"/>
      <c r="T634" s="3"/>
      <c r="U634" s="3"/>
    </row>
    <row r="635">
      <c r="A635" s="3"/>
      <c r="B635" s="3"/>
      <c r="C635" s="3"/>
      <c r="D635" s="3"/>
      <c r="E635" s="4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4"/>
      <c r="R635" s="3"/>
      <c r="S635" s="3"/>
      <c r="T635" s="3"/>
      <c r="U635" s="3"/>
    </row>
    <row r="636">
      <c r="A636" s="3"/>
      <c r="B636" s="3"/>
      <c r="C636" s="3"/>
      <c r="D636" s="3"/>
      <c r="E636" s="4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4"/>
      <c r="R636" s="3"/>
      <c r="S636" s="3"/>
      <c r="T636" s="3"/>
      <c r="U636" s="3"/>
    </row>
    <row r="637">
      <c r="A637" s="3"/>
      <c r="B637" s="3"/>
      <c r="C637" s="3"/>
      <c r="D637" s="3"/>
      <c r="E637" s="4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4"/>
      <c r="R637" s="3"/>
      <c r="S637" s="3"/>
      <c r="T637" s="3"/>
      <c r="U637" s="3"/>
    </row>
    <row r="638">
      <c r="A638" s="3"/>
      <c r="B638" s="3"/>
      <c r="C638" s="3"/>
      <c r="D638" s="3"/>
      <c r="E638" s="4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4"/>
      <c r="R638" s="3"/>
      <c r="S638" s="3"/>
      <c r="T638" s="3"/>
      <c r="U638" s="3"/>
    </row>
    <row r="639">
      <c r="A639" s="3"/>
      <c r="B639" s="3"/>
      <c r="C639" s="3"/>
      <c r="D639" s="3"/>
      <c r="E639" s="4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4"/>
      <c r="R639" s="3"/>
      <c r="S639" s="3"/>
      <c r="T639" s="3"/>
      <c r="U639" s="3"/>
    </row>
    <row r="640">
      <c r="A640" s="3"/>
      <c r="B640" s="3"/>
      <c r="C640" s="3"/>
      <c r="D640" s="3"/>
      <c r="E640" s="4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4"/>
      <c r="R640" s="3"/>
      <c r="S640" s="3"/>
      <c r="T640" s="3"/>
      <c r="U640" s="3"/>
    </row>
    <row r="641">
      <c r="A641" s="3"/>
      <c r="B641" s="3"/>
      <c r="C641" s="3"/>
      <c r="D641" s="3"/>
      <c r="E641" s="4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4"/>
      <c r="R641" s="3"/>
      <c r="S641" s="3"/>
      <c r="T641" s="3"/>
      <c r="U641" s="3"/>
    </row>
    <row r="642">
      <c r="A642" s="3"/>
      <c r="B642" s="3"/>
      <c r="C642" s="3"/>
      <c r="D642" s="3"/>
      <c r="E642" s="4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4"/>
      <c r="R642" s="3"/>
      <c r="S642" s="3"/>
      <c r="T642" s="3"/>
      <c r="U642" s="3"/>
    </row>
    <row r="643">
      <c r="A643" s="3"/>
      <c r="B643" s="3"/>
      <c r="C643" s="3"/>
      <c r="D643" s="3"/>
      <c r="E643" s="4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4"/>
      <c r="R643" s="3"/>
      <c r="S643" s="3"/>
      <c r="T643" s="3"/>
      <c r="U643" s="3"/>
    </row>
    <row r="644">
      <c r="A644" s="3"/>
      <c r="B644" s="3"/>
      <c r="C644" s="3"/>
      <c r="D644" s="3"/>
      <c r="E644" s="4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4"/>
      <c r="R644" s="3"/>
      <c r="S644" s="3"/>
      <c r="T644" s="3"/>
      <c r="U644" s="3"/>
    </row>
    <row r="645">
      <c r="A645" s="3"/>
      <c r="B645" s="3"/>
      <c r="C645" s="3"/>
      <c r="D645" s="3"/>
      <c r="E645" s="4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4"/>
      <c r="R645" s="3"/>
      <c r="S645" s="3"/>
      <c r="T645" s="3"/>
      <c r="U645" s="3"/>
    </row>
    <row r="646">
      <c r="A646" s="3"/>
      <c r="B646" s="3"/>
      <c r="C646" s="3"/>
      <c r="D646" s="3"/>
      <c r="E646" s="4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4"/>
      <c r="R646" s="3"/>
      <c r="S646" s="3"/>
      <c r="T646" s="3"/>
      <c r="U646" s="3"/>
    </row>
    <row r="647">
      <c r="A647" s="3"/>
      <c r="B647" s="3"/>
      <c r="C647" s="3"/>
      <c r="D647" s="3"/>
      <c r="E647" s="4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4"/>
      <c r="R647" s="3"/>
      <c r="S647" s="3"/>
      <c r="T647" s="3"/>
      <c r="U647" s="3"/>
    </row>
    <row r="648">
      <c r="A648" s="3"/>
      <c r="B648" s="3"/>
      <c r="C648" s="3"/>
      <c r="D648" s="3"/>
      <c r="E648" s="4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4"/>
      <c r="R648" s="3"/>
      <c r="S648" s="3"/>
      <c r="T648" s="3"/>
      <c r="U648" s="3"/>
    </row>
    <row r="649">
      <c r="A649" s="3"/>
      <c r="B649" s="3"/>
      <c r="C649" s="3"/>
      <c r="D649" s="3"/>
      <c r="E649" s="4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4"/>
      <c r="R649" s="3"/>
      <c r="S649" s="3"/>
      <c r="T649" s="3"/>
      <c r="U649" s="3"/>
    </row>
    <row r="650">
      <c r="A650" s="3"/>
      <c r="B650" s="3"/>
      <c r="C650" s="3"/>
      <c r="D650" s="3"/>
      <c r="E650" s="4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4"/>
      <c r="R650" s="3"/>
      <c r="S650" s="3"/>
      <c r="T650" s="3"/>
      <c r="U650" s="3"/>
    </row>
    <row r="651">
      <c r="A651" s="3"/>
      <c r="B651" s="3"/>
      <c r="C651" s="3"/>
      <c r="D651" s="3"/>
      <c r="E651" s="4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4"/>
      <c r="R651" s="3"/>
      <c r="S651" s="3"/>
      <c r="T651" s="3"/>
      <c r="U651" s="3"/>
    </row>
    <row r="652">
      <c r="A652" s="3"/>
      <c r="B652" s="3"/>
      <c r="C652" s="3"/>
      <c r="D652" s="3"/>
      <c r="E652" s="4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4"/>
      <c r="R652" s="3"/>
      <c r="S652" s="3"/>
      <c r="T652" s="3"/>
      <c r="U652" s="3"/>
    </row>
    <row r="653">
      <c r="A653" s="3"/>
      <c r="B653" s="3"/>
      <c r="C653" s="3"/>
      <c r="D653" s="3"/>
      <c r="E653" s="4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4"/>
      <c r="R653" s="3"/>
      <c r="S653" s="3"/>
      <c r="T653" s="3"/>
      <c r="U653" s="3"/>
    </row>
    <row r="654">
      <c r="A654" s="3"/>
      <c r="B654" s="3"/>
      <c r="C654" s="3"/>
      <c r="D654" s="3"/>
      <c r="E654" s="4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4"/>
      <c r="R654" s="3"/>
      <c r="S654" s="3"/>
      <c r="T654" s="3"/>
      <c r="U654" s="3"/>
    </row>
    <row r="655">
      <c r="A655" s="3"/>
      <c r="B655" s="3"/>
      <c r="C655" s="3"/>
      <c r="D655" s="3"/>
      <c r="E655" s="4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4"/>
      <c r="R655" s="3"/>
      <c r="S655" s="3"/>
      <c r="T655" s="3"/>
      <c r="U655" s="3"/>
    </row>
    <row r="656">
      <c r="A656" s="3"/>
      <c r="B656" s="3"/>
      <c r="C656" s="3"/>
      <c r="D656" s="3"/>
      <c r="E656" s="4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4"/>
      <c r="R656" s="3"/>
      <c r="S656" s="3"/>
      <c r="T656" s="3"/>
      <c r="U656" s="3"/>
    </row>
    <row r="657">
      <c r="A657" s="3"/>
      <c r="B657" s="3"/>
      <c r="C657" s="3"/>
      <c r="D657" s="3"/>
      <c r="E657" s="4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4"/>
      <c r="R657" s="3"/>
      <c r="S657" s="3"/>
      <c r="T657" s="3"/>
      <c r="U657" s="3"/>
    </row>
    <row r="658">
      <c r="A658" s="3"/>
      <c r="B658" s="3"/>
      <c r="C658" s="3"/>
      <c r="D658" s="3"/>
      <c r="E658" s="4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4"/>
      <c r="R658" s="3"/>
      <c r="S658" s="3"/>
      <c r="T658" s="3"/>
      <c r="U658" s="3"/>
    </row>
    <row r="659">
      <c r="A659" s="3"/>
      <c r="B659" s="3"/>
      <c r="C659" s="3"/>
      <c r="D659" s="3"/>
      <c r="E659" s="4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4"/>
      <c r="R659" s="3"/>
      <c r="S659" s="3"/>
      <c r="T659" s="3"/>
      <c r="U659" s="3"/>
    </row>
    <row r="660">
      <c r="A660" s="3"/>
      <c r="B660" s="3"/>
      <c r="C660" s="3"/>
      <c r="D660" s="3"/>
      <c r="E660" s="4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4"/>
      <c r="R660" s="3"/>
      <c r="S660" s="3"/>
      <c r="T660" s="3"/>
      <c r="U660" s="3"/>
    </row>
    <row r="661">
      <c r="A661" s="3"/>
      <c r="B661" s="3"/>
      <c r="C661" s="3"/>
      <c r="D661" s="3"/>
      <c r="E661" s="4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4"/>
      <c r="R661" s="3"/>
      <c r="S661" s="3"/>
      <c r="T661" s="3"/>
      <c r="U661" s="3"/>
    </row>
    <row r="662">
      <c r="A662" s="3"/>
      <c r="B662" s="3"/>
      <c r="C662" s="3"/>
      <c r="D662" s="3"/>
      <c r="E662" s="4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4"/>
      <c r="R662" s="3"/>
      <c r="S662" s="3"/>
      <c r="T662" s="3"/>
      <c r="U662" s="3"/>
    </row>
    <row r="663">
      <c r="A663" s="3"/>
      <c r="B663" s="3"/>
      <c r="C663" s="3"/>
      <c r="D663" s="3"/>
      <c r="E663" s="4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4"/>
      <c r="R663" s="3"/>
      <c r="S663" s="3"/>
      <c r="T663" s="3"/>
      <c r="U663" s="3"/>
    </row>
    <row r="664">
      <c r="A664" s="3"/>
      <c r="B664" s="3"/>
      <c r="C664" s="3"/>
      <c r="D664" s="3"/>
      <c r="E664" s="4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4"/>
      <c r="R664" s="3"/>
      <c r="S664" s="3"/>
      <c r="T664" s="3"/>
      <c r="U664" s="3"/>
    </row>
    <row r="665">
      <c r="A665" s="3"/>
      <c r="B665" s="3"/>
      <c r="C665" s="3"/>
      <c r="D665" s="3"/>
      <c r="E665" s="4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4"/>
      <c r="R665" s="3"/>
      <c r="S665" s="3"/>
      <c r="T665" s="3"/>
      <c r="U665" s="3"/>
    </row>
    <row r="666">
      <c r="A666" s="3"/>
      <c r="B666" s="3"/>
      <c r="C666" s="3"/>
      <c r="D666" s="3"/>
      <c r="E666" s="4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4"/>
      <c r="R666" s="3"/>
      <c r="S666" s="3"/>
      <c r="T666" s="3"/>
      <c r="U666" s="3"/>
    </row>
    <row r="667">
      <c r="A667" s="3"/>
      <c r="B667" s="3"/>
      <c r="C667" s="3"/>
      <c r="D667" s="3"/>
      <c r="E667" s="4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4"/>
      <c r="R667" s="3"/>
      <c r="S667" s="3"/>
      <c r="T667" s="3"/>
      <c r="U667" s="3"/>
    </row>
    <row r="668">
      <c r="A668" s="3"/>
      <c r="B668" s="3"/>
      <c r="C668" s="3"/>
      <c r="D668" s="3"/>
      <c r="E668" s="4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4"/>
      <c r="R668" s="3"/>
      <c r="S668" s="3"/>
      <c r="T668" s="3"/>
      <c r="U668" s="3"/>
    </row>
    <row r="669">
      <c r="A669" s="3"/>
      <c r="B669" s="3"/>
      <c r="C669" s="3"/>
      <c r="D669" s="3"/>
      <c r="E669" s="4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4"/>
      <c r="R669" s="3"/>
      <c r="S669" s="3"/>
      <c r="T669" s="3"/>
      <c r="U669" s="3"/>
    </row>
    <row r="670">
      <c r="A670" s="3"/>
      <c r="B670" s="3"/>
      <c r="C670" s="3"/>
      <c r="D670" s="3"/>
      <c r="E670" s="4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4"/>
      <c r="R670" s="3"/>
      <c r="S670" s="3"/>
      <c r="T670" s="3"/>
      <c r="U670" s="3"/>
    </row>
    <row r="671">
      <c r="A671" s="3"/>
      <c r="B671" s="3"/>
      <c r="C671" s="3"/>
      <c r="D671" s="3"/>
      <c r="E671" s="4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4"/>
      <c r="R671" s="3"/>
      <c r="S671" s="3"/>
      <c r="T671" s="3"/>
      <c r="U671" s="3"/>
    </row>
    <row r="672">
      <c r="A672" s="3"/>
      <c r="B672" s="3"/>
      <c r="C672" s="3"/>
      <c r="D672" s="3"/>
      <c r="E672" s="4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4"/>
      <c r="R672" s="3"/>
      <c r="S672" s="3"/>
      <c r="T672" s="3"/>
      <c r="U672" s="3"/>
    </row>
    <row r="673">
      <c r="A673" s="3"/>
      <c r="B673" s="3"/>
      <c r="C673" s="3"/>
      <c r="D673" s="3"/>
      <c r="E673" s="4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4"/>
      <c r="R673" s="3"/>
      <c r="S673" s="3"/>
      <c r="T673" s="3"/>
      <c r="U673" s="3"/>
    </row>
    <row r="674">
      <c r="A674" s="3"/>
      <c r="B674" s="3"/>
      <c r="C674" s="3"/>
      <c r="D674" s="3"/>
      <c r="E674" s="4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4"/>
      <c r="R674" s="3"/>
      <c r="S674" s="3"/>
      <c r="T674" s="3"/>
      <c r="U674" s="3"/>
    </row>
    <row r="675">
      <c r="A675" s="3"/>
      <c r="B675" s="3"/>
      <c r="C675" s="3"/>
      <c r="D675" s="3"/>
      <c r="E675" s="4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4"/>
      <c r="R675" s="3"/>
      <c r="S675" s="3"/>
      <c r="T675" s="3"/>
      <c r="U675" s="3"/>
    </row>
    <row r="676">
      <c r="A676" s="3"/>
      <c r="B676" s="3"/>
      <c r="C676" s="3"/>
      <c r="D676" s="3"/>
      <c r="E676" s="4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4"/>
      <c r="R676" s="3"/>
      <c r="S676" s="3"/>
      <c r="T676" s="3"/>
      <c r="U676" s="3"/>
    </row>
    <row r="677">
      <c r="A677" s="3"/>
      <c r="B677" s="3"/>
      <c r="C677" s="3"/>
      <c r="D677" s="3"/>
      <c r="E677" s="4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4"/>
      <c r="R677" s="3"/>
      <c r="S677" s="3"/>
      <c r="T677" s="3"/>
      <c r="U677" s="3"/>
    </row>
    <row r="678">
      <c r="A678" s="3"/>
      <c r="B678" s="3"/>
      <c r="C678" s="3"/>
      <c r="D678" s="3"/>
      <c r="E678" s="4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4"/>
      <c r="R678" s="3"/>
      <c r="S678" s="3"/>
      <c r="T678" s="3"/>
      <c r="U678" s="3"/>
    </row>
    <row r="679">
      <c r="A679" s="3"/>
      <c r="B679" s="3"/>
      <c r="C679" s="3"/>
      <c r="D679" s="3"/>
      <c r="E679" s="4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4"/>
      <c r="R679" s="3"/>
      <c r="S679" s="3"/>
      <c r="T679" s="3"/>
      <c r="U679" s="3"/>
    </row>
    <row r="680">
      <c r="A680" s="3"/>
      <c r="B680" s="3"/>
      <c r="C680" s="3"/>
      <c r="D680" s="3"/>
      <c r="E680" s="4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4"/>
      <c r="R680" s="3"/>
      <c r="S680" s="3"/>
      <c r="T680" s="3"/>
      <c r="U680" s="3"/>
    </row>
    <row r="681">
      <c r="A681" s="3"/>
      <c r="B681" s="3"/>
      <c r="C681" s="3"/>
      <c r="D681" s="3"/>
      <c r="E681" s="4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4"/>
      <c r="R681" s="3"/>
      <c r="S681" s="3"/>
      <c r="T681" s="3"/>
      <c r="U681" s="3"/>
    </row>
    <row r="682">
      <c r="A682" s="3"/>
      <c r="B682" s="3"/>
      <c r="C682" s="3"/>
      <c r="D682" s="3"/>
      <c r="E682" s="4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4"/>
      <c r="R682" s="3"/>
      <c r="S682" s="3"/>
      <c r="T682" s="3"/>
      <c r="U682" s="3"/>
    </row>
    <row r="683">
      <c r="A683" s="3"/>
      <c r="B683" s="3"/>
      <c r="C683" s="3"/>
      <c r="D683" s="3"/>
      <c r="E683" s="4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4"/>
      <c r="R683" s="3"/>
      <c r="S683" s="3"/>
      <c r="T683" s="3"/>
      <c r="U683" s="3"/>
    </row>
    <row r="684">
      <c r="A684" s="3"/>
      <c r="B684" s="3"/>
      <c r="C684" s="3"/>
      <c r="D684" s="3"/>
      <c r="E684" s="4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4"/>
      <c r="R684" s="3"/>
      <c r="S684" s="3"/>
      <c r="T684" s="3"/>
      <c r="U684" s="3"/>
    </row>
    <row r="685">
      <c r="A685" s="3"/>
      <c r="B685" s="3"/>
      <c r="C685" s="3"/>
      <c r="D685" s="3"/>
      <c r="E685" s="4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4"/>
      <c r="R685" s="3"/>
      <c r="S685" s="3"/>
      <c r="T685" s="3"/>
      <c r="U685" s="3"/>
    </row>
    <row r="686">
      <c r="A686" s="3"/>
      <c r="B686" s="3"/>
      <c r="C686" s="3"/>
      <c r="D686" s="3"/>
      <c r="E686" s="4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4"/>
      <c r="R686" s="3"/>
      <c r="S686" s="3"/>
      <c r="T686" s="3"/>
      <c r="U686" s="3"/>
    </row>
    <row r="687">
      <c r="A687" s="3"/>
      <c r="B687" s="3"/>
      <c r="C687" s="3"/>
      <c r="D687" s="3"/>
      <c r="E687" s="4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4"/>
      <c r="R687" s="3"/>
      <c r="S687" s="3"/>
      <c r="T687" s="3"/>
      <c r="U687" s="3"/>
    </row>
    <row r="688">
      <c r="A688" s="3"/>
      <c r="B688" s="3"/>
      <c r="C688" s="3"/>
      <c r="D688" s="3"/>
      <c r="E688" s="4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4"/>
      <c r="R688" s="3"/>
      <c r="S688" s="3"/>
      <c r="T688" s="3"/>
      <c r="U688" s="3"/>
    </row>
    <row r="689">
      <c r="A689" s="3"/>
      <c r="B689" s="3"/>
      <c r="C689" s="3"/>
      <c r="D689" s="3"/>
      <c r="E689" s="4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4"/>
      <c r="R689" s="3"/>
      <c r="S689" s="3"/>
      <c r="T689" s="3"/>
      <c r="U689" s="3"/>
    </row>
    <row r="690">
      <c r="A690" s="3"/>
      <c r="B690" s="3"/>
      <c r="C690" s="3"/>
      <c r="D690" s="3"/>
      <c r="E690" s="4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4"/>
      <c r="R690" s="3"/>
      <c r="S690" s="3"/>
      <c r="T690" s="3"/>
      <c r="U690" s="3"/>
    </row>
    <row r="691">
      <c r="A691" s="3"/>
      <c r="B691" s="3"/>
      <c r="C691" s="3"/>
      <c r="D691" s="3"/>
      <c r="E691" s="4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4"/>
      <c r="R691" s="3"/>
      <c r="S691" s="3"/>
      <c r="T691" s="3"/>
      <c r="U691" s="3"/>
    </row>
    <row r="692">
      <c r="A692" s="3"/>
      <c r="B692" s="3"/>
      <c r="C692" s="3"/>
      <c r="D692" s="3"/>
      <c r="E692" s="4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4"/>
      <c r="R692" s="3"/>
      <c r="S692" s="3"/>
      <c r="T692" s="3"/>
      <c r="U692" s="3"/>
    </row>
    <row r="693">
      <c r="A693" s="3"/>
      <c r="B693" s="3"/>
      <c r="C693" s="3"/>
      <c r="D693" s="3"/>
      <c r="E693" s="4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4"/>
      <c r="R693" s="3"/>
      <c r="S693" s="3"/>
      <c r="T693" s="3"/>
      <c r="U693" s="3"/>
    </row>
    <row r="694">
      <c r="A694" s="3"/>
      <c r="B694" s="3"/>
      <c r="C694" s="3"/>
      <c r="D694" s="3"/>
      <c r="E694" s="4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4"/>
      <c r="R694" s="3"/>
      <c r="S694" s="3"/>
      <c r="T694" s="3"/>
      <c r="U694" s="3"/>
    </row>
    <row r="695">
      <c r="A695" s="3"/>
      <c r="B695" s="3"/>
      <c r="C695" s="3"/>
      <c r="D695" s="3"/>
      <c r="E695" s="4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4"/>
      <c r="R695" s="3"/>
      <c r="S695" s="3"/>
      <c r="T695" s="3"/>
      <c r="U695" s="3"/>
    </row>
    <row r="696">
      <c r="A696" s="3"/>
      <c r="B696" s="3"/>
      <c r="C696" s="3"/>
      <c r="D696" s="3"/>
      <c r="E696" s="4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4"/>
      <c r="R696" s="3"/>
      <c r="S696" s="3"/>
      <c r="T696" s="3"/>
      <c r="U696" s="3"/>
    </row>
    <row r="697">
      <c r="A697" s="3"/>
      <c r="B697" s="3"/>
      <c r="C697" s="3"/>
      <c r="D697" s="3"/>
      <c r="E697" s="4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4"/>
      <c r="R697" s="3"/>
      <c r="S697" s="3"/>
      <c r="T697" s="3"/>
      <c r="U697" s="3"/>
    </row>
    <row r="698">
      <c r="A698" s="3"/>
      <c r="B698" s="3"/>
      <c r="C698" s="3"/>
      <c r="D698" s="3"/>
      <c r="E698" s="4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4"/>
      <c r="R698" s="3"/>
      <c r="S698" s="3"/>
      <c r="T698" s="3"/>
      <c r="U698" s="3"/>
    </row>
    <row r="699">
      <c r="A699" s="3"/>
      <c r="B699" s="3"/>
      <c r="C699" s="3"/>
      <c r="D699" s="3"/>
      <c r="E699" s="4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4"/>
      <c r="R699" s="3"/>
      <c r="S699" s="3"/>
      <c r="T699" s="3"/>
      <c r="U699" s="3"/>
    </row>
    <row r="700">
      <c r="A700" s="3"/>
      <c r="B700" s="3"/>
      <c r="C700" s="3"/>
      <c r="D700" s="3"/>
      <c r="E700" s="4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4"/>
      <c r="R700" s="3"/>
      <c r="S700" s="3"/>
      <c r="T700" s="3"/>
      <c r="U700" s="3"/>
    </row>
    <row r="701">
      <c r="A701" s="3"/>
      <c r="B701" s="3"/>
      <c r="C701" s="3"/>
      <c r="D701" s="3"/>
      <c r="E701" s="4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4"/>
      <c r="R701" s="3"/>
      <c r="S701" s="3"/>
      <c r="T701" s="3"/>
      <c r="U701" s="3"/>
    </row>
    <row r="702">
      <c r="A702" s="3"/>
      <c r="B702" s="3"/>
      <c r="C702" s="3"/>
      <c r="D702" s="3"/>
      <c r="E702" s="4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4"/>
      <c r="R702" s="3"/>
      <c r="S702" s="3"/>
      <c r="T702" s="3"/>
      <c r="U702" s="3"/>
    </row>
    <row r="703">
      <c r="A703" s="3"/>
      <c r="B703" s="3"/>
      <c r="C703" s="3"/>
      <c r="D703" s="3"/>
      <c r="E703" s="4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4"/>
      <c r="R703" s="3"/>
      <c r="S703" s="3"/>
      <c r="T703" s="3"/>
      <c r="U703" s="3"/>
    </row>
    <row r="704">
      <c r="A704" s="3"/>
      <c r="B704" s="3"/>
      <c r="C704" s="3"/>
      <c r="D704" s="3"/>
      <c r="E704" s="4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4"/>
      <c r="R704" s="3"/>
      <c r="S704" s="3"/>
      <c r="T704" s="3"/>
      <c r="U704" s="3"/>
    </row>
    <row r="705">
      <c r="A705" s="3"/>
      <c r="B705" s="3"/>
      <c r="C705" s="3"/>
      <c r="D705" s="3"/>
      <c r="E705" s="4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4"/>
      <c r="R705" s="3"/>
      <c r="S705" s="3"/>
      <c r="T705" s="3"/>
      <c r="U705" s="3"/>
    </row>
    <row r="706">
      <c r="A706" s="3"/>
      <c r="B706" s="3"/>
      <c r="C706" s="3"/>
      <c r="D706" s="3"/>
      <c r="E706" s="4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4"/>
      <c r="R706" s="3"/>
      <c r="S706" s="3"/>
      <c r="T706" s="3"/>
      <c r="U706" s="3"/>
    </row>
    <row r="707">
      <c r="A707" s="3"/>
      <c r="B707" s="3"/>
      <c r="C707" s="3"/>
      <c r="D707" s="3"/>
      <c r="E707" s="4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4"/>
      <c r="R707" s="3"/>
      <c r="S707" s="3"/>
      <c r="T707" s="3"/>
      <c r="U707" s="3"/>
    </row>
    <row r="708">
      <c r="A708" s="3"/>
      <c r="B708" s="3"/>
      <c r="C708" s="3"/>
      <c r="D708" s="3"/>
      <c r="E708" s="4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4"/>
      <c r="R708" s="3"/>
      <c r="S708" s="3"/>
      <c r="T708" s="3"/>
      <c r="U708" s="3"/>
    </row>
    <row r="709">
      <c r="A709" s="3"/>
      <c r="B709" s="3"/>
      <c r="C709" s="3"/>
      <c r="D709" s="3"/>
      <c r="E709" s="4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4"/>
      <c r="R709" s="3"/>
      <c r="S709" s="3"/>
      <c r="T709" s="3"/>
      <c r="U709" s="3"/>
    </row>
    <row r="710">
      <c r="A710" s="3"/>
      <c r="B710" s="3"/>
      <c r="C710" s="3"/>
      <c r="D710" s="3"/>
      <c r="E710" s="4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4"/>
      <c r="R710" s="3"/>
      <c r="S710" s="3"/>
      <c r="T710" s="3"/>
      <c r="U710" s="3"/>
    </row>
    <row r="711">
      <c r="A711" s="3"/>
      <c r="B711" s="3"/>
      <c r="C711" s="3"/>
      <c r="D711" s="3"/>
      <c r="E711" s="4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4"/>
      <c r="R711" s="3"/>
      <c r="S711" s="3"/>
      <c r="T711" s="3"/>
      <c r="U711" s="3"/>
    </row>
    <row r="712">
      <c r="A712" s="3"/>
      <c r="B712" s="3"/>
      <c r="C712" s="3"/>
      <c r="D712" s="3"/>
      <c r="E712" s="4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4"/>
      <c r="R712" s="3"/>
      <c r="S712" s="3"/>
      <c r="T712" s="3"/>
      <c r="U712" s="3"/>
    </row>
    <row r="713">
      <c r="A713" s="3"/>
      <c r="B713" s="3"/>
      <c r="C713" s="3"/>
      <c r="D713" s="3"/>
      <c r="E713" s="4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4"/>
      <c r="R713" s="3"/>
      <c r="S713" s="3"/>
      <c r="T713" s="3"/>
      <c r="U713" s="3"/>
    </row>
    <row r="714">
      <c r="A714" s="3"/>
      <c r="B714" s="3"/>
      <c r="C714" s="3"/>
      <c r="D714" s="3"/>
      <c r="E714" s="4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4"/>
      <c r="R714" s="3"/>
      <c r="S714" s="3"/>
      <c r="T714" s="3"/>
      <c r="U714" s="3"/>
    </row>
    <row r="715">
      <c r="A715" s="3"/>
      <c r="B715" s="3"/>
      <c r="C715" s="3"/>
      <c r="D715" s="3"/>
      <c r="E715" s="4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4"/>
      <c r="R715" s="3"/>
      <c r="S715" s="3"/>
      <c r="T715" s="3"/>
      <c r="U715" s="3"/>
    </row>
    <row r="716">
      <c r="A716" s="3"/>
      <c r="B716" s="3"/>
      <c r="C716" s="3"/>
      <c r="D716" s="3"/>
      <c r="E716" s="4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4"/>
      <c r="R716" s="3"/>
      <c r="S716" s="3"/>
      <c r="T716" s="3"/>
      <c r="U716" s="3"/>
    </row>
    <row r="717">
      <c r="A717" s="3"/>
      <c r="B717" s="3"/>
      <c r="C717" s="3"/>
      <c r="D717" s="3"/>
      <c r="E717" s="4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4"/>
      <c r="R717" s="3"/>
      <c r="S717" s="3"/>
      <c r="T717" s="3"/>
      <c r="U717" s="3"/>
    </row>
    <row r="718">
      <c r="A718" s="3"/>
      <c r="B718" s="3"/>
      <c r="C718" s="3"/>
      <c r="D718" s="3"/>
      <c r="E718" s="4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4"/>
      <c r="R718" s="3"/>
      <c r="S718" s="3"/>
      <c r="T718" s="3"/>
      <c r="U718" s="3"/>
    </row>
    <row r="719">
      <c r="A719" s="3"/>
      <c r="B719" s="3"/>
      <c r="C719" s="3"/>
      <c r="D719" s="3"/>
      <c r="E719" s="4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4"/>
      <c r="R719" s="3"/>
      <c r="S719" s="3"/>
      <c r="T719" s="3"/>
      <c r="U719" s="3"/>
    </row>
    <row r="720">
      <c r="A720" s="3"/>
      <c r="B720" s="3"/>
      <c r="C720" s="3"/>
      <c r="D720" s="3"/>
      <c r="E720" s="4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4"/>
      <c r="R720" s="3"/>
      <c r="S720" s="3"/>
      <c r="T720" s="3"/>
      <c r="U720" s="3"/>
    </row>
    <row r="721">
      <c r="A721" s="3"/>
      <c r="B721" s="3"/>
      <c r="C721" s="3"/>
      <c r="D721" s="3"/>
      <c r="E721" s="4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4"/>
      <c r="R721" s="3"/>
      <c r="S721" s="3"/>
      <c r="T721" s="3"/>
      <c r="U721" s="3"/>
    </row>
    <row r="722">
      <c r="A722" s="3"/>
      <c r="B722" s="3"/>
      <c r="C722" s="3"/>
      <c r="D722" s="3"/>
      <c r="E722" s="4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4"/>
      <c r="R722" s="3"/>
      <c r="S722" s="3"/>
      <c r="T722" s="3"/>
      <c r="U722" s="3"/>
    </row>
    <row r="723">
      <c r="A723" s="3"/>
      <c r="B723" s="3"/>
      <c r="C723" s="3"/>
      <c r="D723" s="3"/>
      <c r="E723" s="4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4"/>
      <c r="R723" s="3"/>
      <c r="S723" s="3"/>
      <c r="T723" s="3"/>
      <c r="U723" s="3"/>
    </row>
    <row r="724">
      <c r="A724" s="3"/>
      <c r="B724" s="3"/>
      <c r="C724" s="3"/>
      <c r="D724" s="3"/>
      <c r="E724" s="4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4"/>
      <c r="R724" s="3"/>
      <c r="S724" s="3"/>
      <c r="T724" s="3"/>
      <c r="U724" s="3"/>
    </row>
    <row r="725">
      <c r="A725" s="3"/>
      <c r="B725" s="3"/>
      <c r="C725" s="3"/>
      <c r="D725" s="3"/>
      <c r="E725" s="4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4"/>
      <c r="R725" s="3"/>
      <c r="S725" s="3"/>
      <c r="T725" s="3"/>
      <c r="U725" s="3"/>
    </row>
    <row r="726">
      <c r="A726" s="3"/>
      <c r="B726" s="3"/>
      <c r="C726" s="3"/>
      <c r="D726" s="3"/>
      <c r="E726" s="4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4"/>
      <c r="R726" s="3"/>
      <c r="S726" s="3"/>
      <c r="T726" s="3"/>
      <c r="U726" s="3"/>
    </row>
    <row r="727">
      <c r="A727" s="3"/>
      <c r="B727" s="3"/>
      <c r="C727" s="3"/>
      <c r="D727" s="3"/>
      <c r="E727" s="4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4"/>
      <c r="R727" s="3"/>
      <c r="S727" s="3"/>
      <c r="T727" s="3"/>
      <c r="U727" s="3"/>
    </row>
    <row r="728">
      <c r="A728" s="3"/>
      <c r="B728" s="3"/>
      <c r="C728" s="3"/>
      <c r="D728" s="3"/>
      <c r="E728" s="4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4"/>
      <c r="R728" s="3"/>
      <c r="S728" s="3"/>
      <c r="T728" s="3"/>
      <c r="U728" s="3"/>
    </row>
    <row r="729">
      <c r="A729" s="3"/>
      <c r="B729" s="3"/>
      <c r="C729" s="3"/>
      <c r="D729" s="3"/>
      <c r="E729" s="4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4"/>
      <c r="R729" s="3"/>
      <c r="S729" s="3"/>
      <c r="T729" s="3"/>
      <c r="U729" s="3"/>
    </row>
    <row r="730">
      <c r="A730" s="3"/>
      <c r="B730" s="3"/>
      <c r="C730" s="3"/>
      <c r="D730" s="3"/>
      <c r="E730" s="4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4"/>
      <c r="R730" s="3"/>
      <c r="S730" s="3"/>
      <c r="T730" s="3"/>
      <c r="U730" s="3"/>
    </row>
    <row r="731">
      <c r="A731" s="3"/>
      <c r="B731" s="3"/>
      <c r="C731" s="3"/>
      <c r="D731" s="3"/>
      <c r="E731" s="4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4"/>
      <c r="R731" s="3"/>
      <c r="S731" s="3"/>
      <c r="T731" s="3"/>
      <c r="U731" s="3"/>
    </row>
    <row r="732">
      <c r="A732" s="3"/>
      <c r="B732" s="3"/>
      <c r="C732" s="3"/>
      <c r="D732" s="3"/>
      <c r="E732" s="4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4"/>
      <c r="R732" s="3"/>
      <c r="S732" s="3"/>
      <c r="T732" s="3"/>
      <c r="U732" s="3"/>
    </row>
    <row r="733">
      <c r="A733" s="3"/>
      <c r="B733" s="3"/>
      <c r="C733" s="3"/>
      <c r="D733" s="3"/>
      <c r="E733" s="4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4"/>
      <c r="R733" s="3"/>
      <c r="S733" s="3"/>
      <c r="T733" s="3"/>
      <c r="U733" s="3"/>
    </row>
    <row r="734">
      <c r="A734" s="3"/>
      <c r="B734" s="3"/>
      <c r="C734" s="3"/>
      <c r="D734" s="3"/>
      <c r="E734" s="4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4"/>
      <c r="R734" s="3"/>
      <c r="S734" s="3"/>
      <c r="T734" s="3"/>
      <c r="U734" s="3"/>
    </row>
    <row r="735">
      <c r="A735" s="3"/>
      <c r="B735" s="3"/>
      <c r="C735" s="3"/>
      <c r="D735" s="3"/>
      <c r="E735" s="4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4"/>
      <c r="R735" s="3"/>
      <c r="S735" s="3"/>
      <c r="T735" s="3"/>
      <c r="U735" s="3"/>
    </row>
    <row r="736">
      <c r="A736" s="3"/>
      <c r="B736" s="3"/>
      <c r="C736" s="3"/>
      <c r="D736" s="3"/>
      <c r="E736" s="4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4"/>
      <c r="R736" s="3"/>
      <c r="S736" s="3"/>
      <c r="T736" s="3"/>
      <c r="U736" s="3"/>
    </row>
    <row r="737">
      <c r="A737" s="3"/>
      <c r="B737" s="3"/>
      <c r="C737" s="3"/>
      <c r="D737" s="3"/>
      <c r="E737" s="4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4"/>
      <c r="R737" s="3"/>
      <c r="S737" s="3"/>
      <c r="T737" s="3"/>
      <c r="U737" s="3"/>
    </row>
    <row r="738">
      <c r="A738" s="3"/>
      <c r="B738" s="3"/>
      <c r="C738" s="3"/>
      <c r="D738" s="3"/>
      <c r="E738" s="4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4"/>
      <c r="R738" s="3"/>
      <c r="S738" s="3"/>
      <c r="T738" s="3"/>
      <c r="U738" s="3"/>
    </row>
    <row r="739">
      <c r="A739" s="3"/>
      <c r="B739" s="3"/>
      <c r="C739" s="3"/>
      <c r="D739" s="3"/>
      <c r="E739" s="4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4"/>
      <c r="R739" s="3"/>
      <c r="S739" s="3"/>
      <c r="T739" s="3"/>
      <c r="U739" s="3"/>
    </row>
    <row r="740">
      <c r="A740" s="3"/>
      <c r="B740" s="3"/>
      <c r="C740" s="3"/>
      <c r="D740" s="3"/>
      <c r="E740" s="4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4"/>
      <c r="R740" s="3"/>
      <c r="S740" s="3"/>
      <c r="T740" s="3"/>
      <c r="U740" s="3"/>
    </row>
    <row r="741">
      <c r="A741" s="3"/>
      <c r="B741" s="3"/>
      <c r="C741" s="3"/>
      <c r="D741" s="3"/>
      <c r="E741" s="4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4"/>
      <c r="R741" s="3"/>
      <c r="S741" s="3"/>
      <c r="T741" s="3"/>
      <c r="U741" s="3"/>
    </row>
    <row r="742">
      <c r="A742" s="3"/>
      <c r="B742" s="3"/>
      <c r="C742" s="3"/>
      <c r="D742" s="3"/>
      <c r="E742" s="4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4"/>
      <c r="R742" s="3"/>
      <c r="S742" s="3"/>
      <c r="T742" s="3"/>
      <c r="U742" s="3"/>
    </row>
    <row r="743">
      <c r="A743" s="3"/>
      <c r="B743" s="3"/>
      <c r="C743" s="3"/>
      <c r="D743" s="3"/>
      <c r="E743" s="4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4"/>
      <c r="R743" s="3"/>
      <c r="S743" s="3"/>
      <c r="T743" s="3"/>
      <c r="U743" s="3"/>
    </row>
    <row r="744">
      <c r="A744" s="3"/>
      <c r="B744" s="3"/>
      <c r="C744" s="3"/>
      <c r="D744" s="3"/>
      <c r="E744" s="4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4"/>
      <c r="R744" s="3"/>
      <c r="S744" s="3"/>
      <c r="T744" s="3"/>
      <c r="U744" s="3"/>
    </row>
    <row r="745">
      <c r="A745" s="3"/>
      <c r="B745" s="3"/>
      <c r="C745" s="3"/>
      <c r="D745" s="3"/>
      <c r="E745" s="4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4"/>
      <c r="R745" s="3"/>
      <c r="S745" s="3"/>
      <c r="T745" s="3"/>
      <c r="U745" s="3"/>
    </row>
    <row r="746">
      <c r="A746" s="3"/>
      <c r="B746" s="3"/>
      <c r="C746" s="3"/>
      <c r="D746" s="3"/>
      <c r="E746" s="4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4"/>
      <c r="R746" s="3"/>
      <c r="S746" s="3"/>
      <c r="T746" s="3"/>
      <c r="U746" s="3"/>
    </row>
    <row r="747">
      <c r="A747" s="3"/>
      <c r="B747" s="3"/>
      <c r="C747" s="3"/>
      <c r="D747" s="3"/>
      <c r="E747" s="4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4"/>
      <c r="R747" s="3"/>
      <c r="S747" s="3"/>
      <c r="T747" s="3"/>
      <c r="U747" s="3"/>
    </row>
    <row r="748">
      <c r="A748" s="3"/>
      <c r="B748" s="3"/>
      <c r="C748" s="3"/>
      <c r="D748" s="3"/>
      <c r="E748" s="4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4"/>
      <c r="R748" s="3"/>
      <c r="S748" s="3"/>
      <c r="T748" s="3"/>
      <c r="U748" s="3"/>
    </row>
    <row r="749">
      <c r="A749" s="3"/>
      <c r="B749" s="3"/>
      <c r="C749" s="3"/>
      <c r="D749" s="3"/>
      <c r="E749" s="4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4"/>
      <c r="R749" s="3"/>
      <c r="S749" s="3"/>
      <c r="T749" s="3"/>
      <c r="U749" s="3"/>
    </row>
    <row r="750">
      <c r="A750" s="3"/>
      <c r="B750" s="3"/>
      <c r="C750" s="3"/>
      <c r="D750" s="3"/>
      <c r="E750" s="4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4"/>
      <c r="R750" s="3"/>
      <c r="S750" s="3"/>
      <c r="T750" s="3"/>
      <c r="U750" s="3"/>
    </row>
    <row r="751">
      <c r="A751" s="3"/>
      <c r="B751" s="3"/>
      <c r="C751" s="3"/>
      <c r="D751" s="3"/>
      <c r="E751" s="4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4"/>
      <c r="R751" s="3"/>
      <c r="S751" s="3"/>
      <c r="T751" s="3"/>
      <c r="U751" s="3"/>
    </row>
    <row r="752">
      <c r="A752" s="3"/>
      <c r="B752" s="3"/>
      <c r="C752" s="3"/>
      <c r="D752" s="3"/>
      <c r="E752" s="4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4"/>
      <c r="R752" s="3"/>
      <c r="S752" s="3"/>
      <c r="T752" s="3"/>
      <c r="U752" s="3"/>
    </row>
    <row r="753">
      <c r="A753" s="3"/>
      <c r="B753" s="3"/>
      <c r="C753" s="3"/>
      <c r="D753" s="3"/>
      <c r="E753" s="4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4"/>
      <c r="R753" s="3"/>
      <c r="S753" s="3"/>
      <c r="T753" s="3"/>
      <c r="U753" s="3"/>
    </row>
    <row r="754">
      <c r="A754" s="3"/>
      <c r="B754" s="3"/>
      <c r="C754" s="3"/>
      <c r="D754" s="3"/>
      <c r="E754" s="4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4"/>
      <c r="R754" s="3"/>
      <c r="S754" s="3"/>
      <c r="T754" s="3"/>
      <c r="U754" s="3"/>
    </row>
    <row r="755">
      <c r="A755" s="3"/>
      <c r="B755" s="3"/>
      <c r="C755" s="3"/>
      <c r="D755" s="3"/>
      <c r="E755" s="4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4"/>
      <c r="R755" s="3"/>
      <c r="S755" s="3"/>
      <c r="T755" s="3"/>
      <c r="U755" s="3"/>
    </row>
    <row r="756">
      <c r="A756" s="3"/>
      <c r="B756" s="3"/>
      <c r="C756" s="3"/>
      <c r="D756" s="3"/>
      <c r="E756" s="4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4"/>
      <c r="R756" s="3"/>
      <c r="S756" s="3"/>
      <c r="T756" s="3"/>
      <c r="U756" s="3"/>
    </row>
    <row r="757">
      <c r="A757" s="3"/>
      <c r="B757" s="3"/>
      <c r="C757" s="3"/>
      <c r="D757" s="3"/>
      <c r="E757" s="4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4"/>
      <c r="R757" s="3"/>
      <c r="S757" s="3"/>
      <c r="T757" s="3"/>
      <c r="U757" s="3"/>
    </row>
    <row r="758">
      <c r="A758" s="3"/>
      <c r="B758" s="3"/>
      <c r="C758" s="3"/>
      <c r="D758" s="3"/>
      <c r="E758" s="4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4"/>
      <c r="R758" s="3"/>
      <c r="S758" s="3"/>
      <c r="T758" s="3"/>
      <c r="U758" s="3"/>
    </row>
    <row r="759">
      <c r="A759" s="3"/>
      <c r="B759" s="3"/>
      <c r="C759" s="3"/>
      <c r="D759" s="3"/>
      <c r="E759" s="4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4"/>
      <c r="R759" s="3"/>
      <c r="S759" s="3"/>
      <c r="T759" s="3"/>
      <c r="U759" s="3"/>
    </row>
    <row r="760">
      <c r="A760" s="3"/>
      <c r="B760" s="3"/>
      <c r="C760" s="3"/>
      <c r="D760" s="3"/>
      <c r="E760" s="4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4"/>
      <c r="R760" s="3"/>
      <c r="S760" s="3"/>
      <c r="T760" s="3"/>
      <c r="U760" s="3"/>
    </row>
    <row r="761">
      <c r="A761" s="3"/>
      <c r="B761" s="3"/>
      <c r="C761" s="3"/>
      <c r="D761" s="3"/>
      <c r="E761" s="4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4"/>
      <c r="R761" s="3"/>
      <c r="S761" s="3"/>
      <c r="T761" s="3"/>
      <c r="U761" s="3"/>
    </row>
    <row r="762">
      <c r="A762" s="3"/>
      <c r="B762" s="3"/>
      <c r="C762" s="3"/>
      <c r="D762" s="3"/>
      <c r="E762" s="4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4"/>
      <c r="R762" s="3"/>
      <c r="S762" s="3"/>
      <c r="T762" s="3"/>
      <c r="U762" s="3"/>
    </row>
    <row r="763">
      <c r="A763" s="3"/>
      <c r="B763" s="3"/>
      <c r="C763" s="3"/>
      <c r="D763" s="3"/>
      <c r="E763" s="4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4"/>
      <c r="R763" s="3"/>
      <c r="S763" s="3"/>
      <c r="T763" s="3"/>
      <c r="U763" s="3"/>
    </row>
    <row r="764">
      <c r="A764" s="3"/>
      <c r="B764" s="3"/>
      <c r="C764" s="3"/>
      <c r="D764" s="3"/>
      <c r="E764" s="4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4"/>
      <c r="R764" s="3"/>
      <c r="S764" s="3"/>
      <c r="T764" s="3"/>
      <c r="U764" s="3"/>
    </row>
    <row r="765">
      <c r="A765" s="3"/>
      <c r="B765" s="3"/>
      <c r="C765" s="3"/>
      <c r="D765" s="3"/>
      <c r="E765" s="4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4"/>
      <c r="R765" s="3"/>
      <c r="S765" s="3"/>
      <c r="T765" s="3"/>
      <c r="U765" s="3"/>
    </row>
    <row r="766">
      <c r="A766" s="3"/>
      <c r="B766" s="3"/>
      <c r="C766" s="3"/>
      <c r="D766" s="3"/>
      <c r="E766" s="4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4"/>
      <c r="R766" s="3"/>
      <c r="S766" s="3"/>
      <c r="T766" s="3"/>
      <c r="U766" s="3"/>
    </row>
    <row r="767">
      <c r="A767" s="3"/>
      <c r="B767" s="3"/>
      <c r="C767" s="3"/>
      <c r="D767" s="3"/>
      <c r="E767" s="4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4"/>
      <c r="R767" s="3"/>
      <c r="S767" s="3"/>
      <c r="T767" s="3"/>
      <c r="U767" s="3"/>
    </row>
    <row r="768">
      <c r="A768" s="3"/>
      <c r="B768" s="3"/>
      <c r="C768" s="3"/>
      <c r="D768" s="3"/>
      <c r="E768" s="4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4"/>
      <c r="R768" s="3"/>
      <c r="S768" s="3"/>
      <c r="T768" s="3"/>
      <c r="U768" s="3"/>
    </row>
    <row r="769">
      <c r="A769" s="3"/>
      <c r="B769" s="3"/>
      <c r="C769" s="3"/>
      <c r="D769" s="3"/>
      <c r="E769" s="4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4"/>
      <c r="R769" s="3"/>
      <c r="S769" s="3"/>
      <c r="T769" s="3"/>
      <c r="U769" s="3"/>
    </row>
    <row r="770">
      <c r="A770" s="3"/>
      <c r="B770" s="3"/>
      <c r="C770" s="3"/>
      <c r="D770" s="3"/>
      <c r="E770" s="4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4"/>
      <c r="R770" s="3"/>
      <c r="S770" s="3"/>
      <c r="T770" s="3"/>
      <c r="U770" s="3"/>
    </row>
    <row r="771">
      <c r="A771" s="3"/>
      <c r="B771" s="3"/>
      <c r="C771" s="3"/>
      <c r="D771" s="3"/>
      <c r="E771" s="4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4"/>
      <c r="R771" s="3"/>
      <c r="S771" s="3"/>
      <c r="T771" s="3"/>
      <c r="U771" s="3"/>
    </row>
    <row r="772">
      <c r="A772" s="3"/>
      <c r="B772" s="3"/>
      <c r="C772" s="3"/>
      <c r="D772" s="3"/>
      <c r="E772" s="4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4"/>
      <c r="R772" s="3"/>
      <c r="S772" s="3"/>
      <c r="T772" s="3"/>
      <c r="U772" s="3"/>
    </row>
    <row r="773">
      <c r="A773" s="3"/>
      <c r="B773" s="3"/>
      <c r="C773" s="3"/>
      <c r="D773" s="3"/>
      <c r="E773" s="4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4"/>
      <c r="R773" s="3"/>
      <c r="S773" s="3"/>
      <c r="T773" s="3"/>
      <c r="U773" s="3"/>
    </row>
    <row r="774">
      <c r="A774" s="3"/>
      <c r="B774" s="3"/>
      <c r="C774" s="3"/>
      <c r="D774" s="3"/>
      <c r="E774" s="4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4"/>
      <c r="R774" s="3"/>
      <c r="S774" s="3"/>
      <c r="T774" s="3"/>
      <c r="U774" s="3"/>
    </row>
    <row r="775">
      <c r="A775" s="3"/>
      <c r="B775" s="3"/>
      <c r="C775" s="3"/>
      <c r="D775" s="3"/>
      <c r="E775" s="4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4"/>
      <c r="R775" s="3"/>
      <c r="S775" s="3"/>
      <c r="T775" s="3"/>
      <c r="U775" s="3"/>
    </row>
    <row r="776">
      <c r="A776" s="3"/>
      <c r="B776" s="3"/>
      <c r="C776" s="3"/>
      <c r="D776" s="3"/>
      <c r="E776" s="4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4"/>
      <c r="R776" s="3"/>
      <c r="S776" s="3"/>
      <c r="T776" s="3"/>
      <c r="U776" s="3"/>
    </row>
    <row r="777">
      <c r="A777" s="3"/>
      <c r="B777" s="3"/>
      <c r="C777" s="3"/>
      <c r="D777" s="3"/>
      <c r="E777" s="4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4"/>
      <c r="R777" s="3"/>
      <c r="S777" s="3"/>
      <c r="T777" s="3"/>
      <c r="U777" s="3"/>
    </row>
    <row r="778">
      <c r="A778" s="3"/>
      <c r="B778" s="3"/>
      <c r="C778" s="3"/>
      <c r="D778" s="3"/>
      <c r="E778" s="4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4"/>
      <c r="R778" s="3"/>
      <c r="S778" s="3"/>
      <c r="T778" s="3"/>
      <c r="U778" s="3"/>
    </row>
    <row r="779">
      <c r="A779" s="3"/>
      <c r="B779" s="3"/>
      <c r="C779" s="3"/>
      <c r="D779" s="3"/>
      <c r="E779" s="4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4"/>
      <c r="R779" s="3"/>
      <c r="S779" s="3"/>
      <c r="T779" s="3"/>
      <c r="U779" s="3"/>
    </row>
    <row r="780">
      <c r="A780" s="3"/>
      <c r="B780" s="3"/>
      <c r="C780" s="3"/>
      <c r="D780" s="3"/>
      <c r="E780" s="4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4"/>
      <c r="R780" s="3"/>
      <c r="S780" s="3"/>
      <c r="T780" s="3"/>
      <c r="U780" s="3"/>
    </row>
    <row r="781">
      <c r="A781" s="3"/>
      <c r="B781" s="3"/>
      <c r="C781" s="3"/>
      <c r="D781" s="3"/>
      <c r="E781" s="4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4"/>
      <c r="R781" s="3"/>
      <c r="S781" s="3"/>
      <c r="T781" s="3"/>
      <c r="U781" s="3"/>
    </row>
    <row r="782">
      <c r="A782" s="3"/>
      <c r="B782" s="3"/>
      <c r="C782" s="3"/>
      <c r="D782" s="3"/>
      <c r="E782" s="4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4"/>
      <c r="R782" s="3"/>
      <c r="S782" s="3"/>
      <c r="T782" s="3"/>
      <c r="U782" s="3"/>
    </row>
    <row r="783">
      <c r="A783" s="3"/>
      <c r="B783" s="3"/>
      <c r="C783" s="3"/>
      <c r="D783" s="3"/>
      <c r="E783" s="4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4"/>
      <c r="R783" s="3"/>
      <c r="S783" s="3"/>
      <c r="T783" s="3"/>
      <c r="U783" s="3"/>
    </row>
    <row r="784">
      <c r="A784" s="3"/>
      <c r="B784" s="3"/>
      <c r="C784" s="3"/>
      <c r="D784" s="3"/>
      <c r="E784" s="4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4"/>
      <c r="R784" s="3"/>
      <c r="S784" s="3"/>
      <c r="T784" s="3"/>
      <c r="U784" s="3"/>
    </row>
    <row r="785">
      <c r="A785" s="3"/>
      <c r="B785" s="3"/>
      <c r="C785" s="3"/>
      <c r="D785" s="3"/>
      <c r="E785" s="4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4"/>
      <c r="R785" s="3"/>
      <c r="S785" s="3"/>
      <c r="T785" s="3"/>
      <c r="U785" s="3"/>
    </row>
    <row r="786">
      <c r="A786" s="3"/>
      <c r="B786" s="3"/>
      <c r="C786" s="3"/>
      <c r="D786" s="3"/>
      <c r="E786" s="4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4"/>
      <c r="R786" s="3"/>
      <c r="S786" s="3"/>
      <c r="T786" s="3"/>
      <c r="U786" s="3"/>
    </row>
    <row r="787">
      <c r="A787" s="3"/>
      <c r="B787" s="3"/>
      <c r="C787" s="3"/>
      <c r="D787" s="3"/>
      <c r="E787" s="4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4"/>
      <c r="R787" s="3"/>
      <c r="S787" s="3"/>
      <c r="T787" s="3"/>
      <c r="U787" s="3"/>
    </row>
    <row r="788">
      <c r="A788" s="3"/>
      <c r="B788" s="3"/>
      <c r="C788" s="3"/>
      <c r="D788" s="3"/>
      <c r="E788" s="4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4"/>
      <c r="R788" s="3"/>
      <c r="S788" s="3"/>
      <c r="T788" s="3"/>
      <c r="U788" s="3"/>
    </row>
    <row r="789">
      <c r="A789" s="3"/>
      <c r="B789" s="3"/>
      <c r="C789" s="3"/>
      <c r="D789" s="3"/>
      <c r="E789" s="4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4"/>
      <c r="R789" s="3"/>
      <c r="S789" s="3"/>
      <c r="T789" s="3"/>
      <c r="U789" s="3"/>
    </row>
    <row r="790">
      <c r="A790" s="3"/>
      <c r="B790" s="3"/>
      <c r="C790" s="3"/>
      <c r="D790" s="3"/>
      <c r="E790" s="4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4"/>
      <c r="R790" s="3"/>
      <c r="S790" s="3"/>
      <c r="T790" s="3"/>
      <c r="U790" s="3"/>
    </row>
    <row r="791">
      <c r="A791" s="3"/>
      <c r="B791" s="3"/>
      <c r="C791" s="3"/>
      <c r="D791" s="3"/>
      <c r="E791" s="4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4"/>
      <c r="R791" s="3"/>
      <c r="S791" s="3"/>
      <c r="T791" s="3"/>
      <c r="U791" s="3"/>
    </row>
    <row r="792">
      <c r="A792" s="3"/>
      <c r="B792" s="3"/>
      <c r="C792" s="3"/>
      <c r="D792" s="3"/>
      <c r="E792" s="4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4"/>
      <c r="R792" s="3"/>
      <c r="S792" s="3"/>
      <c r="T792" s="3"/>
      <c r="U792" s="3"/>
    </row>
    <row r="793">
      <c r="A793" s="3"/>
      <c r="B793" s="3"/>
      <c r="C793" s="3"/>
      <c r="D793" s="3"/>
      <c r="E793" s="4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4"/>
      <c r="R793" s="3"/>
      <c r="S793" s="3"/>
      <c r="T793" s="3"/>
      <c r="U793" s="3"/>
    </row>
    <row r="794">
      <c r="A794" s="3"/>
      <c r="B794" s="3"/>
      <c r="C794" s="3"/>
      <c r="D794" s="3"/>
      <c r="E794" s="4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4"/>
      <c r="R794" s="3"/>
      <c r="S794" s="3"/>
      <c r="T794" s="3"/>
      <c r="U794" s="3"/>
    </row>
    <row r="795">
      <c r="A795" s="3"/>
      <c r="B795" s="3"/>
      <c r="C795" s="3"/>
      <c r="D795" s="3"/>
      <c r="E795" s="4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4"/>
      <c r="R795" s="3"/>
      <c r="S795" s="3"/>
      <c r="T795" s="3"/>
      <c r="U795" s="3"/>
    </row>
    <row r="796">
      <c r="A796" s="3"/>
      <c r="B796" s="3"/>
      <c r="C796" s="3"/>
      <c r="D796" s="3"/>
      <c r="E796" s="4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4"/>
      <c r="R796" s="3"/>
      <c r="S796" s="3"/>
      <c r="T796" s="3"/>
      <c r="U796" s="3"/>
    </row>
    <row r="797">
      <c r="A797" s="3"/>
      <c r="B797" s="3"/>
      <c r="C797" s="3"/>
      <c r="D797" s="3"/>
      <c r="E797" s="4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4"/>
      <c r="R797" s="3"/>
      <c r="S797" s="3"/>
      <c r="T797" s="3"/>
      <c r="U797" s="3"/>
    </row>
    <row r="798">
      <c r="A798" s="3"/>
      <c r="B798" s="3"/>
      <c r="C798" s="3"/>
      <c r="D798" s="3"/>
      <c r="E798" s="4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4"/>
      <c r="R798" s="3"/>
      <c r="S798" s="3"/>
      <c r="T798" s="3"/>
      <c r="U798" s="3"/>
    </row>
    <row r="799">
      <c r="A799" s="3"/>
      <c r="B799" s="3"/>
      <c r="C799" s="3"/>
      <c r="D799" s="3"/>
      <c r="E799" s="4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4"/>
      <c r="R799" s="3"/>
      <c r="S799" s="3"/>
      <c r="T799" s="3"/>
      <c r="U799" s="3"/>
    </row>
    <row r="800">
      <c r="A800" s="3"/>
      <c r="B800" s="3"/>
      <c r="C800" s="3"/>
      <c r="D800" s="3"/>
      <c r="E800" s="4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4"/>
      <c r="R800" s="3"/>
      <c r="S800" s="3"/>
      <c r="T800" s="3"/>
      <c r="U800" s="3"/>
    </row>
    <row r="801">
      <c r="A801" s="3"/>
      <c r="B801" s="3"/>
      <c r="C801" s="3"/>
      <c r="D801" s="3"/>
      <c r="E801" s="4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4"/>
      <c r="R801" s="3"/>
      <c r="S801" s="3"/>
      <c r="T801" s="3"/>
      <c r="U801" s="3"/>
    </row>
    <row r="802">
      <c r="A802" s="3"/>
      <c r="B802" s="3"/>
      <c r="C802" s="3"/>
      <c r="D802" s="3"/>
      <c r="E802" s="4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4"/>
      <c r="R802" s="3"/>
      <c r="S802" s="3"/>
      <c r="T802" s="3"/>
      <c r="U802" s="3"/>
    </row>
    <row r="803">
      <c r="A803" s="3"/>
      <c r="B803" s="3"/>
      <c r="C803" s="3"/>
      <c r="D803" s="3"/>
      <c r="E803" s="4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4"/>
      <c r="R803" s="3"/>
      <c r="S803" s="3"/>
      <c r="T803" s="3"/>
      <c r="U803" s="3"/>
    </row>
    <row r="804">
      <c r="A804" s="3"/>
      <c r="B804" s="3"/>
      <c r="C804" s="3"/>
      <c r="D804" s="3"/>
      <c r="E804" s="4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4"/>
      <c r="R804" s="3"/>
      <c r="S804" s="3"/>
      <c r="T804" s="3"/>
      <c r="U804" s="3"/>
    </row>
    <row r="805">
      <c r="A805" s="3"/>
      <c r="B805" s="3"/>
      <c r="C805" s="3"/>
      <c r="D805" s="3"/>
      <c r="E805" s="4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4"/>
      <c r="R805" s="3"/>
      <c r="S805" s="3"/>
      <c r="T805" s="3"/>
      <c r="U805" s="3"/>
    </row>
    <row r="806">
      <c r="A806" s="3"/>
      <c r="B806" s="3"/>
      <c r="C806" s="3"/>
      <c r="D806" s="3"/>
      <c r="E806" s="4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4"/>
      <c r="R806" s="3"/>
      <c r="S806" s="3"/>
      <c r="T806" s="3"/>
      <c r="U806" s="3"/>
    </row>
    <row r="807">
      <c r="A807" s="3"/>
      <c r="B807" s="3"/>
      <c r="C807" s="3"/>
      <c r="D807" s="3"/>
      <c r="E807" s="4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4"/>
      <c r="R807" s="3"/>
      <c r="S807" s="3"/>
      <c r="T807" s="3"/>
      <c r="U807" s="3"/>
    </row>
    <row r="808">
      <c r="A808" s="3"/>
      <c r="B808" s="3"/>
      <c r="C808" s="3"/>
      <c r="D808" s="3"/>
      <c r="E808" s="4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4"/>
      <c r="R808" s="3"/>
      <c r="S808" s="3"/>
      <c r="T808" s="3"/>
      <c r="U808" s="3"/>
    </row>
    <row r="809">
      <c r="A809" s="3"/>
      <c r="B809" s="3"/>
      <c r="C809" s="3"/>
      <c r="D809" s="3"/>
      <c r="E809" s="4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4"/>
      <c r="R809" s="3"/>
      <c r="S809" s="3"/>
      <c r="T809" s="3"/>
      <c r="U809" s="3"/>
    </row>
    <row r="810">
      <c r="A810" s="3"/>
      <c r="B810" s="3"/>
      <c r="C810" s="3"/>
      <c r="D810" s="3"/>
      <c r="E810" s="4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4"/>
      <c r="R810" s="3"/>
      <c r="S810" s="3"/>
      <c r="T810" s="3"/>
      <c r="U810" s="3"/>
    </row>
    <row r="811">
      <c r="A811" s="3"/>
      <c r="B811" s="3"/>
      <c r="C811" s="3"/>
      <c r="D811" s="3"/>
      <c r="E811" s="4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4"/>
      <c r="R811" s="3"/>
      <c r="S811" s="3"/>
      <c r="T811" s="3"/>
      <c r="U811" s="3"/>
    </row>
    <row r="812">
      <c r="A812" s="3"/>
      <c r="B812" s="3"/>
      <c r="C812" s="3"/>
      <c r="D812" s="3"/>
      <c r="E812" s="4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4"/>
      <c r="R812" s="3"/>
      <c r="S812" s="3"/>
      <c r="T812" s="3"/>
      <c r="U812" s="3"/>
    </row>
    <row r="813">
      <c r="A813" s="3"/>
      <c r="B813" s="3"/>
      <c r="C813" s="3"/>
      <c r="D813" s="3"/>
      <c r="E813" s="4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4"/>
      <c r="R813" s="3"/>
      <c r="S813" s="3"/>
      <c r="T813" s="3"/>
      <c r="U813" s="3"/>
    </row>
    <row r="814">
      <c r="A814" s="3"/>
      <c r="B814" s="3"/>
      <c r="C814" s="3"/>
      <c r="D814" s="3"/>
      <c r="E814" s="4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4"/>
      <c r="R814" s="3"/>
      <c r="S814" s="3"/>
      <c r="T814" s="3"/>
      <c r="U814" s="3"/>
    </row>
    <row r="815">
      <c r="A815" s="3"/>
      <c r="B815" s="3"/>
      <c r="C815" s="3"/>
      <c r="D815" s="3"/>
      <c r="E815" s="4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4"/>
      <c r="R815" s="3"/>
      <c r="S815" s="3"/>
      <c r="T815" s="3"/>
      <c r="U815" s="3"/>
    </row>
    <row r="816">
      <c r="A816" s="3"/>
      <c r="B816" s="3"/>
      <c r="C816" s="3"/>
      <c r="D816" s="3"/>
      <c r="E816" s="4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4"/>
      <c r="R816" s="3"/>
      <c r="S816" s="3"/>
      <c r="T816" s="3"/>
      <c r="U816" s="3"/>
    </row>
    <row r="817">
      <c r="A817" s="3"/>
      <c r="B817" s="3"/>
      <c r="C817" s="3"/>
      <c r="D817" s="3"/>
      <c r="E817" s="4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4"/>
      <c r="R817" s="3"/>
      <c r="S817" s="3"/>
      <c r="T817" s="3"/>
      <c r="U817" s="3"/>
    </row>
    <row r="818">
      <c r="A818" s="3"/>
      <c r="B818" s="3"/>
      <c r="C818" s="3"/>
      <c r="D818" s="3"/>
      <c r="E818" s="4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4"/>
      <c r="R818" s="3"/>
      <c r="S818" s="3"/>
      <c r="T818" s="3"/>
      <c r="U818" s="3"/>
    </row>
    <row r="819">
      <c r="A819" s="3"/>
      <c r="B819" s="3"/>
      <c r="C819" s="3"/>
      <c r="D819" s="3"/>
      <c r="E819" s="4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4"/>
      <c r="R819" s="3"/>
      <c r="S819" s="3"/>
      <c r="T819" s="3"/>
      <c r="U819" s="3"/>
    </row>
    <row r="820">
      <c r="A820" s="3"/>
      <c r="B820" s="3"/>
      <c r="C820" s="3"/>
      <c r="D820" s="3"/>
      <c r="E820" s="4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4"/>
      <c r="R820" s="3"/>
      <c r="S820" s="3"/>
      <c r="T820" s="3"/>
      <c r="U820" s="3"/>
    </row>
    <row r="821">
      <c r="A821" s="3"/>
      <c r="B821" s="3"/>
      <c r="C821" s="3"/>
      <c r="D821" s="3"/>
      <c r="E821" s="4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4"/>
      <c r="R821" s="3"/>
      <c r="S821" s="3"/>
      <c r="T821" s="3"/>
      <c r="U821" s="3"/>
    </row>
    <row r="822">
      <c r="A822" s="3"/>
      <c r="B822" s="3"/>
      <c r="C822" s="3"/>
      <c r="D822" s="3"/>
      <c r="E822" s="4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4"/>
      <c r="R822" s="3"/>
      <c r="S822" s="3"/>
      <c r="T822" s="3"/>
      <c r="U822" s="3"/>
    </row>
    <row r="823">
      <c r="A823" s="3"/>
      <c r="B823" s="3"/>
      <c r="C823" s="3"/>
      <c r="D823" s="3"/>
      <c r="E823" s="4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4"/>
      <c r="R823" s="3"/>
      <c r="S823" s="3"/>
      <c r="T823" s="3"/>
      <c r="U823" s="3"/>
    </row>
    <row r="824">
      <c r="A824" s="3"/>
      <c r="B824" s="3"/>
      <c r="C824" s="3"/>
      <c r="D824" s="3"/>
      <c r="E824" s="4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4"/>
      <c r="R824" s="3"/>
      <c r="S824" s="3"/>
      <c r="T824" s="3"/>
      <c r="U824" s="3"/>
    </row>
    <row r="825">
      <c r="A825" s="3"/>
      <c r="B825" s="3"/>
      <c r="C825" s="3"/>
      <c r="D825" s="3"/>
      <c r="E825" s="4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4"/>
      <c r="R825" s="3"/>
      <c r="S825" s="3"/>
      <c r="T825" s="3"/>
      <c r="U825" s="3"/>
    </row>
    <row r="826">
      <c r="A826" s="3"/>
      <c r="B826" s="3"/>
      <c r="C826" s="3"/>
      <c r="D826" s="3"/>
      <c r="E826" s="4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4"/>
      <c r="R826" s="3"/>
      <c r="S826" s="3"/>
      <c r="T826" s="3"/>
      <c r="U826" s="3"/>
    </row>
    <row r="827">
      <c r="A827" s="3"/>
      <c r="B827" s="3"/>
      <c r="C827" s="3"/>
      <c r="D827" s="3"/>
      <c r="E827" s="4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4"/>
      <c r="R827" s="3"/>
      <c r="S827" s="3"/>
      <c r="T827" s="3"/>
      <c r="U827" s="3"/>
    </row>
    <row r="828">
      <c r="A828" s="3"/>
      <c r="B828" s="3"/>
      <c r="C828" s="3"/>
      <c r="D828" s="3"/>
      <c r="E828" s="4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4"/>
      <c r="R828" s="3"/>
      <c r="S828" s="3"/>
      <c r="T828" s="3"/>
      <c r="U828" s="3"/>
    </row>
    <row r="829">
      <c r="A829" s="3"/>
      <c r="B829" s="3"/>
      <c r="C829" s="3"/>
      <c r="D829" s="3"/>
      <c r="E829" s="4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4"/>
      <c r="R829" s="3"/>
      <c r="S829" s="3"/>
      <c r="T829" s="3"/>
      <c r="U829" s="3"/>
    </row>
    <row r="830">
      <c r="A830" s="3"/>
      <c r="B830" s="3"/>
      <c r="C830" s="3"/>
      <c r="D830" s="3"/>
      <c r="E830" s="4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4"/>
      <c r="R830" s="3"/>
      <c r="S830" s="3"/>
      <c r="T830" s="3"/>
      <c r="U830" s="3"/>
    </row>
    <row r="831">
      <c r="A831" s="3"/>
      <c r="B831" s="3"/>
      <c r="C831" s="3"/>
      <c r="D831" s="3"/>
      <c r="E831" s="4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4"/>
      <c r="R831" s="3"/>
      <c r="S831" s="3"/>
      <c r="T831" s="3"/>
      <c r="U831" s="3"/>
    </row>
    <row r="832">
      <c r="A832" s="3"/>
      <c r="B832" s="3"/>
      <c r="C832" s="3"/>
      <c r="D832" s="3"/>
      <c r="E832" s="4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4"/>
      <c r="R832" s="3"/>
      <c r="S832" s="3"/>
      <c r="T832" s="3"/>
      <c r="U832" s="3"/>
    </row>
    <row r="833">
      <c r="A833" s="3"/>
      <c r="B833" s="3"/>
      <c r="C833" s="3"/>
      <c r="D833" s="3"/>
      <c r="E833" s="4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4"/>
      <c r="R833" s="3"/>
      <c r="S833" s="3"/>
      <c r="T833" s="3"/>
      <c r="U833" s="3"/>
    </row>
    <row r="834">
      <c r="A834" s="3"/>
      <c r="B834" s="3"/>
      <c r="C834" s="3"/>
      <c r="D834" s="3"/>
      <c r="E834" s="4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4"/>
      <c r="R834" s="3"/>
      <c r="S834" s="3"/>
      <c r="T834" s="3"/>
      <c r="U834" s="3"/>
    </row>
    <row r="835">
      <c r="A835" s="3"/>
      <c r="B835" s="3"/>
      <c r="C835" s="3"/>
      <c r="D835" s="3"/>
      <c r="E835" s="4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4"/>
      <c r="R835" s="3"/>
      <c r="S835" s="3"/>
      <c r="T835" s="3"/>
      <c r="U835" s="3"/>
    </row>
    <row r="836">
      <c r="A836" s="3"/>
      <c r="B836" s="3"/>
      <c r="C836" s="3"/>
      <c r="D836" s="3"/>
      <c r="E836" s="4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4"/>
      <c r="R836" s="3"/>
      <c r="S836" s="3"/>
      <c r="T836" s="3"/>
      <c r="U836" s="3"/>
    </row>
    <row r="837">
      <c r="A837" s="3"/>
      <c r="B837" s="3"/>
      <c r="C837" s="3"/>
      <c r="D837" s="3"/>
      <c r="E837" s="4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4"/>
      <c r="R837" s="3"/>
      <c r="S837" s="3"/>
      <c r="T837" s="3"/>
      <c r="U837" s="3"/>
    </row>
    <row r="838">
      <c r="A838" s="3"/>
      <c r="B838" s="3"/>
      <c r="C838" s="3"/>
      <c r="D838" s="3"/>
      <c r="E838" s="4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4"/>
      <c r="R838" s="3"/>
      <c r="S838" s="3"/>
      <c r="T838" s="3"/>
      <c r="U838" s="3"/>
    </row>
    <row r="839">
      <c r="A839" s="3"/>
      <c r="B839" s="3"/>
      <c r="C839" s="3"/>
      <c r="D839" s="3"/>
      <c r="E839" s="4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4"/>
      <c r="R839" s="3"/>
      <c r="S839" s="3"/>
      <c r="T839" s="3"/>
      <c r="U839" s="3"/>
    </row>
    <row r="840">
      <c r="A840" s="3"/>
      <c r="B840" s="3"/>
      <c r="C840" s="3"/>
      <c r="D840" s="3"/>
      <c r="E840" s="4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4"/>
      <c r="R840" s="3"/>
      <c r="S840" s="3"/>
      <c r="T840" s="3"/>
      <c r="U840" s="3"/>
    </row>
    <row r="841">
      <c r="A841" s="3"/>
      <c r="B841" s="3"/>
      <c r="C841" s="3"/>
      <c r="D841" s="3"/>
      <c r="E841" s="4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4"/>
      <c r="R841" s="3"/>
      <c r="S841" s="3"/>
      <c r="T841" s="3"/>
      <c r="U841" s="3"/>
    </row>
    <row r="842">
      <c r="A842" s="3"/>
      <c r="B842" s="3"/>
      <c r="C842" s="3"/>
      <c r="D842" s="3"/>
      <c r="E842" s="4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4"/>
      <c r="R842" s="3"/>
      <c r="S842" s="3"/>
      <c r="T842" s="3"/>
      <c r="U842" s="3"/>
    </row>
    <row r="843">
      <c r="A843" s="3"/>
      <c r="B843" s="3"/>
      <c r="C843" s="3"/>
      <c r="D843" s="3"/>
      <c r="E843" s="4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4"/>
      <c r="R843" s="3"/>
      <c r="S843" s="3"/>
      <c r="T843" s="3"/>
      <c r="U843" s="3"/>
    </row>
    <row r="844">
      <c r="A844" s="3"/>
      <c r="B844" s="3"/>
      <c r="C844" s="3"/>
      <c r="D844" s="3"/>
      <c r="E844" s="4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4"/>
      <c r="R844" s="3"/>
      <c r="S844" s="3"/>
      <c r="T844" s="3"/>
      <c r="U844" s="3"/>
    </row>
    <row r="845">
      <c r="A845" s="3"/>
      <c r="B845" s="3"/>
      <c r="C845" s="3"/>
      <c r="D845" s="3"/>
      <c r="E845" s="4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4"/>
      <c r="R845" s="3"/>
      <c r="S845" s="3"/>
      <c r="T845" s="3"/>
      <c r="U845" s="3"/>
    </row>
    <row r="846">
      <c r="A846" s="3"/>
      <c r="B846" s="3"/>
      <c r="C846" s="3"/>
      <c r="D846" s="3"/>
      <c r="E846" s="4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4"/>
      <c r="R846" s="3"/>
      <c r="S846" s="3"/>
      <c r="T846" s="3"/>
      <c r="U846" s="3"/>
    </row>
    <row r="847">
      <c r="A847" s="3"/>
      <c r="B847" s="3"/>
      <c r="C847" s="3"/>
      <c r="D847" s="3"/>
      <c r="E847" s="4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4"/>
      <c r="R847" s="3"/>
      <c r="S847" s="3"/>
      <c r="T847" s="3"/>
      <c r="U847" s="3"/>
    </row>
    <row r="848">
      <c r="A848" s="3"/>
      <c r="B848" s="3"/>
      <c r="C848" s="3"/>
      <c r="D848" s="3"/>
      <c r="E848" s="4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4"/>
      <c r="R848" s="3"/>
      <c r="S848" s="3"/>
      <c r="T848" s="3"/>
      <c r="U848" s="3"/>
    </row>
    <row r="849">
      <c r="A849" s="3"/>
      <c r="B849" s="3"/>
      <c r="C849" s="3"/>
      <c r="D849" s="3"/>
      <c r="E849" s="4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4"/>
      <c r="R849" s="3"/>
      <c r="S849" s="3"/>
      <c r="T849" s="3"/>
      <c r="U849" s="3"/>
    </row>
    <row r="850">
      <c r="A850" s="3"/>
      <c r="B850" s="3"/>
      <c r="C850" s="3"/>
      <c r="D850" s="3"/>
      <c r="E850" s="4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4"/>
      <c r="R850" s="3"/>
      <c r="S850" s="3"/>
      <c r="T850" s="3"/>
      <c r="U850" s="3"/>
    </row>
    <row r="851">
      <c r="A851" s="3"/>
      <c r="B851" s="3"/>
      <c r="C851" s="3"/>
      <c r="D851" s="3"/>
      <c r="E851" s="4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4"/>
      <c r="R851" s="3"/>
      <c r="S851" s="3"/>
      <c r="T851" s="3"/>
      <c r="U851" s="3"/>
    </row>
    <row r="852">
      <c r="A852" s="3"/>
      <c r="B852" s="3"/>
      <c r="C852" s="3"/>
      <c r="D852" s="3"/>
      <c r="E852" s="4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4"/>
      <c r="R852" s="3"/>
      <c r="S852" s="3"/>
      <c r="T852" s="3"/>
      <c r="U852" s="3"/>
    </row>
    <row r="853">
      <c r="A853" s="3"/>
      <c r="B853" s="3"/>
      <c r="C853" s="3"/>
      <c r="D853" s="3"/>
      <c r="E853" s="4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4"/>
      <c r="R853" s="3"/>
      <c r="S853" s="3"/>
      <c r="T853" s="3"/>
      <c r="U853" s="3"/>
    </row>
    <row r="854">
      <c r="A854" s="3"/>
      <c r="B854" s="3"/>
      <c r="C854" s="3"/>
      <c r="D854" s="3"/>
      <c r="E854" s="4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4"/>
      <c r="R854" s="3"/>
      <c r="S854" s="3"/>
      <c r="T854" s="3"/>
      <c r="U854" s="3"/>
    </row>
    <row r="855">
      <c r="A855" s="3"/>
      <c r="B855" s="3"/>
      <c r="C855" s="3"/>
      <c r="D855" s="3"/>
      <c r="E855" s="4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4"/>
      <c r="R855" s="3"/>
      <c r="S855" s="3"/>
      <c r="T855" s="3"/>
      <c r="U855" s="3"/>
    </row>
    <row r="856">
      <c r="A856" s="3"/>
      <c r="B856" s="3"/>
      <c r="C856" s="3"/>
      <c r="D856" s="3"/>
      <c r="E856" s="4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4"/>
      <c r="R856" s="3"/>
      <c r="S856" s="3"/>
      <c r="T856" s="3"/>
      <c r="U856" s="3"/>
    </row>
    <row r="857">
      <c r="A857" s="3"/>
      <c r="B857" s="3"/>
      <c r="C857" s="3"/>
      <c r="D857" s="3"/>
      <c r="E857" s="4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4"/>
      <c r="R857" s="3"/>
      <c r="S857" s="3"/>
      <c r="T857" s="3"/>
      <c r="U857" s="3"/>
    </row>
    <row r="858">
      <c r="A858" s="3"/>
      <c r="B858" s="3"/>
      <c r="C858" s="3"/>
      <c r="D858" s="3"/>
      <c r="E858" s="4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4"/>
      <c r="R858" s="3"/>
      <c r="S858" s="3"/>
      <c r="T858" s="3"/>
      <c r="U858" s="3"/>
    </row>
    <row r="859">
      <c r="A859" s="3"/>
      <c r="B859" s="3"/>
      <c r="C859" s="3"/>
      <c r="D859" s="3"/>
      <c r="E859" s="4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4"/>
      <c r="R859" s="3"/>
      <c r="S859" s="3"/>
      <c r="T859" s="3"/>
      <c r="U859" s="3"/>
    </row>
    <row r="860">
      <c r="A860" s="3"/>
      <c r="B860" s="3"/>
      <c r="C860" s="3"/>
      <c r="D860" s="3"/>
      <c r="E860" s="4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4"/>
      <c r="R860" s="3"/>
      <c r="S860" s="3"/>
      <c r="T860" s="3"/>
      <c r="U860" s="3"/>
    </row>
    <row r="861">
      <c r="A861" s="3"/>
      <c r="B861" s="3"/>
      <c r="C861" s="3"/>
      <c r="D861" s="3"/>
      <c r="E861" s="4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4"/>
      <c r="R861" s="3"/>
      <c r="S861" s="3"/>
      <c r="T861" s="3"/>
      <c r="U861" s="3"/>
    </row>
    <row r="862">
      <c r="A862" s="3"/>
      <c r="B862" s="3"/>
      <c r="C862" s="3"/>
      <c r="D862" s="3"/>
      <c r="E862" s="4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4"/>
      <c r="R862" s="3"/>
      <c r="S862" s="3"/>
      <c r="T862" s="3"/>
      <c r="U862" s="3"/>
    </row>
    <row r="863">
      <c r="A863" s="3"/>
      <c r="B863" s="3"/>
      <c r="C863" s="3"/>
      <c r="D863" s="3"/>
      <c r="E863" s="4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4"/>
      <c r="R863" s="3"/>
      <c r="S863" s="3"/>
      <c r="T863" s="3"/>
      <c r="U863" s="3"/>
    </row>
    <row r="864">
      <c r="A864" s="3"/>
      <c r="B864" s="3"/>
      <c r="C864" s="3"/>
      <c r="D864" s="3"/>
      <c r="E864" s="4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4"/>
      <c r="R864" s="3"/>
      <c r="S864" s="3"/>
      <c r="T864" s="3"/>
      <c r="U864" s="3"/>
    </row>
    <row r="865">
      <c r="A865" s="3"/>
      <c r="B865" s="3"/>
      <c r="C865" s="3"/>
      <c r="D865" s="3"/>
      <c r="E865" s="4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4"/>
      <c r="R865" s="3"/>
      <c r="S865" s="3"/>
      <c r="T865" s="3"/>
      <c r="U865" s="3"/>
    </row>
    <row r="866">
      <c r="A866" s="3"/>
      <c r="B866" s="3"/>
      <c r="C866" s="3"/>
      <c r="D866" s="3"/>
      <c r="E866" s="4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4"/>
      <c r="R866" s="3"/>
      <c r="S866" s="3"/>
      <c r="T866" s="3"/>
      <c r="U866" s="3"/>
    </row>
    <row r="867">
      <c r="A867" s="3"/>
      <c r="B867" s="3"/>
      <c r="C867" s="3"/>
      <c r="D867" s="3"/>
      <c r="E867" s="4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4"/>
      <c r="R867" s="3"/>
      <c r="S867" s="3"/>
      <c r="T867" s="3"/>
      <c r="U867" s="3"/>
    </row>
    <row r="868">
      <c r="A868" s="3"/>
      <c r="B868" s="3"/>
      <c r="C868" s="3"/>
      <c r="D868" s="3"/>
      <c r="E868" s="4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4"/>
      <c r="R868" s="3"/>
      <c r="S868" s="3"/>
      <c r="T868" s="3"/>
      <c r="U868" s="3"/>
    </row>
    <row r="869">
      <c r="A869" s="3"/>
      <c r="B869" s="3"/>
      <c r="C869" s="3"/>
      <c r="D869" s="3"/>
      <c r="E869" s="4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4"/>
      <c r="R869" s="3"/>
      <c r="S869" s="3"/>
      <c r="T869" s="3"/>
      <c r="U869" s="3"/>
    </row>
    <row r="870">
      <c r="A870" s="3"/>
      <c r="B870" s="3"/>
      <c r="C870" s="3"/>
      <c r="D870" s="3"/>
      <c r="E870" s="4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4"/>
      <c r="R870" s="3"/>
      <c r="S870" s="3"/>
      <c r="T870" s="3"/>
      <c r="U870" s="3"/>
    </row>
    <row r="871">
      <c r="A871" s="3"/>
      <c r="B871" s="3"/>
      <c r="C871" s="3"/>
      <c r="D871" s="3"/>
      <c r="E871" s="4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4"/>
      <c r="R871" s="3"/>
      <c r="S871" s="3"/>
      <c r="T871" s="3"/>
      <c r="U871" s="3"/>
    </row>
    <row r="872">
      <c r="A872" s="3"/>
      <c r="B872" s="3"/>
      <c r="C872" s="3"/>
      <c r="D872" s="3"/>
      <c r="E872" s="4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4"/>
      <c r="R872" s="3"/>
      <c r="S872" s="3"/>
      <c r="T872" s="3"/>
      <c r="U872" s="3"/>
    </row>
    <row r="873">
      <c r="A873" s="3"/>
      <c r="B873" s="3"/>
      <c r="C873" s="3"/>
      <c r="D873" s="3"/>
      <c r="E873" s="4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4"/>
      <c r="R873" s="3"/>
      <c r="S873" s="3"/>
      <c r="T873" s="3"/>
      <c r="U873" s="3"/>
    </row>
    <row r="874">
      <c r="A874" s="3"/>
      <c r="B874" s="3"/>
      <c r="C874" s="3"/>
      <c r="D874" s="3"/>
      <c r="E874" s="4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4"/>
      <c r="R874" s="3"/>
      <c r="S874" s="3"/>
      <c r="T874" s="3"/>
      <c r="U874" s="3"/>
    </row>
    <row r="875">
      <c r="A875" s="3"/>
      <c r="B875" s="3"/>
      <c r="C875" s="3"/>
      <c r="D875" s="3"/>
      <c r="E875" s="4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4"/>
      <c r="R875" s="3"/>
      <c r="S875" s="3"/>
      <c r="T875" s="3"/>
      <c r="U875" s="3"/>
    </row>
    <row r="876">
      <c r="A876" s="3"/>
      <c r="B876" s="3"/>
      <c r="C876" s="3"/>
      <c r="D876" s="3"/>
      <c r="E876" s="4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4"/>
      <c r="R876" s="3"/>
      <c r="S876" s="3"/>
      <c r="T876" s="3"/>
      <c r="U876" s="3"/>
    </row>
    <row r="877">
      <c r="A877" s="3"/>
      <c r="B877" s="3"/>
      <c r="C877" s="3"/>
      <c r="D877" s="3"/>
      <c r="E877" s="4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4"/>
      <c r="R877" s="3"/>
      <c r="S877" s="3"/>
      <c r="T877" s="3"/>
      <c r="U877" s="3"/>
    </row>
    <row r="878">
      <c r="A878" s="3"/>
      <c r="B878" s="3"/>
      <c r="C878" s="3"/>
      <c r="D878" s="3"/>
      <c r="E878" s="4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4"/>
      <c r="R878" s="3"/>
      <c r="S878" s="3"/>
      <c r="T878" s="3"/>
      <c r="U878" s="3"/>
    </row>
    <row r="879">
      <c r="A879" s="3"/>
      <c r="B879" s="3"/>
      <c r="C879" s="3"/>
      <c r="D879" s="3"/>
      <c r="E879" s="4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4"/>
      <c r="R879" s="3"/>
      <c r="S879" s="3"/>
      <c r="T879" s="3"/>
      <c r="U879" s="3"/>
    </row>
    <row r="880">
      <c r="A880" s="3"/>
      <c r="B880" s="3"/>
      <c r="C880" s="3"/>
      <c r="D880" s="3"/>
      <c r="E880" s="4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4"/>
      <c r="R880" s="3"/>
      <c r="S880" s="3"/>
      <c r="T880" s="3"/>
      <c r="U880" s="3"/>
    </row>
    <row r="881">
      <c r="A881" s="3"/>
      <c r="B881" s="3"/>
      <c r="C881" s="3"/>
      <c r="D881" s="3"/>
      <c r="E881" s="4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4"/>
      <c r="R881" s="3"/>
      <c r="S881" s="3"/>
      <c r="T881" s="3"/>
      <c r="U881" s="3"/>
    </row>
    <row r="882">
      <c r="A882" s="3"/>
      <c r="B882" s="3"/>
      <c r="C882" s="3"/>
      <c r="D882" s="3"/>
      <c r="E882" s="4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4"/>
      <c r="R882" s="3"/>
      <c r="S882" s="3"/>
      <c r="T882" s="3"/>
      <c r="U882" s="3"/>
    </row>
    <row r="883">
      <c r="A883" s="3"/>
      <c r="B883" s="3"/>
      <c r="C883" s="3"/>
      <c r="D883" s="3"/>
      <c r="E883" s="4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4"/>
      <c r="R883" s="3"/>
      <c r="S883" s="3"/>
      <c r="T883" s="3"/>
      <c r="U883" s="3"/>
    </row>
    <row r="884">
      <c r="A884" s="3"/>
      <c r="B884" s="3"/>
      <c r="C884" s="3"/>
      <c r="D884" s="3"/>
      <c r="E884" s="4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4"/>
      <c r="R884" s="3"/>
      <c r="S884" s="3"/>
      <c r="T884" s="3"/>
      <c r="U884" s="3"/>
    </row>
    <row r="885">
      <c r="A885" s="3"/>
      <c r="B885" s="3"/>
      <c r="C885" s="3"/>
      <c r="D885" s="3"/>
      <c r="E885" s="4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4"/>
      <c r="R885" s="3"/>
      <c r="S885" s="3"/>
      <c r="T885" s="3"/>
      <c r="U885" s="3"/>
    </row>
    <row r="886">
      <c r="A886" s="3"/>
      <c r="B886" s="3"/>
      <c r="C886" s="3"/>
      <c r="D886" s="3"/>
      <c r="E886" s="4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4"/>
      <c r="R886" s="3"/>
      <c r="S886" s="3"/>
      <c r="T886" s="3"/>
      <c r="U886" s="3"/>
    </row>
    <row r="887">
      <c r="A887" s="3"/>
      <c r="B887" s="3"/>
      <c r="C887" s="3"/>
      <c r="D887" s="3"/>
      <c r="E887" s="4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4"/>
      <c r="R887" s="3"/>
      <c r="S887" s="3"/>
      <c r="T887" s="3"/>
      <c r="U887" s="3"/>
    </row>
    <row r="888">
      <c r="A888" s="3"/>
      <c r="B888" s="3"/>
      <c r="C888" s="3"/>
      <c r="D888" s="3"/>
      <c r="E888" s="4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4"/>
      <c r="R888" s="3"/>
      <c r="S888" s="3"/>
      <c r="T888" s="3"/>
      <c r="U888" s="3"/>
    </row>
    <row r="889">
      <c r="A889" s="3"/>
      <c r="B889" s="3"/>
      <c r="C889" s="3"/>
      <c r="D889" s="3"/>
      <c r="E889" s="4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4"/>
      <c r="R889" s="3"/>
      <c r="S889" s="3"/>
      <c r="T889" s="3"/>
      <c r="U889" s="3"/>
    </row>
    <row r="890">
      <c r="A890" s="3"/>
      <c r="B890" s="3"/>
      <c r="C890" s="3"/>
      <c r="D890" s="3"/>
      <c r="E890" s="4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4"/>
      <c r="R890" s="3"/>
      <c r="S890" s="3"/>
      <c r="T890" s="3"/>
      <c r="U890" s="3"/>
    </row>
    <row r="891">
      <c r="A891" s="3"/>
      <c r="B891" s="3"/>
      <c r="C891" s="3"/>
      <c r="D891" s="3"/>
      <c r="E891" s="4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4"/>
      <c r="R891" s="3"/>
      <c r="S891" s="3"/>
      <c r="T891" s="3"/>
      <c r="U891" s="3"/>
    </row>
    <row r="892">
      <c r="A892" s="3"/>
      <c r="B892" s="3"/>
      <c r="C892" s="3"/>
      <c r="D892" s="3"/>
      <c r="E892" s="4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4"/>
      <c r="R892" s="3"/>
      <c r="S892" s="3"/>
      <c r="T892" s="3"/>
      <c r="U892" s="3"/>
    </row>
    <row r="893">
      <c r="A893" s="3"/>
      <c r="B893" s="3"/>
      <c r="C893" s="3"/>
      <c r="D893" s="3"/>
      <c r="E893" s="4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4"/>
      <c r="R893" s="3"/>
      <c r="S893" s="3"/>
      <c r="T893" s="3"/>
      <c r="U893" s="3"/>
    </row>
    <row r="894">
      <c r="A894" s="3"/>
      <c r="B894" s="3"/>
      <c r="C894" s="3"/>
      <c r="D894" s="3"/>
      <c r="E894" s="4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4"/>
      <c r="R894" s="3"/>
      <c r="S894" s="3"/>
      <c r="T894" s="3"/>
      <c r="U894" s="3"/>
    </row>
    <row r="895">
      <c r="A895" s="3"/>
      <c r="B895" s="3"/>
      <c r="C895" s="3"/>
      <c r="D895" s="3"/>
      <c r="E895" s="4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4"/>
      <c r="R895" s="3"/>
      <c r="S895" s="3"/>
      <c r="T895" s="3"/>
      <c r="U895" s="3"/>
    </row>
    <row r="896">
      <c r="A896" s="3"/>
      <c r="B896" s="3"/>
      <c r="C896" s="3"/>
      <c r="D896" s="3"/>
      <c r="E896" s="4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4"/>
      <c r="R896" s="3"/>
      <c r="S896" s="3"/>
      <c r="T896" s="3"/>
      <c r="U896" s="3"/>
    </row>
    <row r="897">
      <c r="A897" s="3"/>
      <c r="B897" s="3"/>
      <c r="C897" s="3"/>
      <c r="D897" s="3"/>
      <c r="E897" s="4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4"/>
      <c r="R897" s="3"/>
      <c r="S897" s="3"/>
      <c r="T897" s="3"/>
      <c r="U897" s="3"/>
    </row>
    <row r="898">
      <c r="A898" s="3"/>
      <c r="B898" s="3"/>
      <c r="C898" s="3"/>
      <c r="D898" s="3"/>
      <c r="E898" s="4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4"/>
      <c r="R898" s="3"/>
      <c r="S898" s="3"/>
      <c r="T898" s="3"/>
      <c r="U898" s="3"/>
    </row>
    <row r="899">
      <c r="A899" s="3"/>
      <c r="B899" s="3"/>
      <c r="C899" s="3"/>
      <c r="D899" s="3"/>
      <c r="E899" s="4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4"/>
      <c r="R899" s="3"/>
      <c r="S899" s="3"/>
      <c r="T899" s="3"/>
      <c r="U899" s="3"/>
    </row>
    <row r="900">
      <c r="A900" s="3"/>
      <c r="B900" s="3"/>
      <c r="C900" s="3"/>
      <c r="D900" s="3"/>
      <c r="E900" s="4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4"/>
      <c r="R900" s="3"/>
      <c r="S900" s="3"/>
      <c r="T900" s="3"/>
      <c r="U900" s="3"/>
    </row>
    <row r="901">
      <c r="A901" s="3"/>
      <c r="B901" s="3"/>
      <c r="C901" s="3"/>
      <c r="D901" s="3"/>
      <c r="E901" s="4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4"/>
      <c r="R901" s="3"/>
      <c r="S901" s="3"/>
      <c r="T901" s="3"/>
      <c r="U901" s="3"/>
    </row>
    <row r="902">
      <c r="A902" s="3"/>
      <c r="B902" s="3"/>
      <c r="C902" s="3"/>
      <c r="D902" s="3"/>
      <c r="E902" s="4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4"/>
      <c r="R902" s="3"/>
      <c r="S902" s="3"/>
      <c r="T902" s="3"/>
      <c r="U902" s="3"/>
    </row>
    <row r="903">
      <c r="A903" s="3"/>
      <c r="B903" s="3"/>
      <c r="C903" s="3"/>
      <c r="D903" s="3"/>
      <c r="E903" s="4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4"/>
      <c r="R903" s="3"/>
      <c r="S903" s="3"/>
      <c r="T903" s="3"/>
      <c r="U903" s="3"/>
    </row>
    <row r="904">
      <c r="A904" s="3"/>
      <c r="B904" s="3"/>
      <c r="C904" s="3"/>
      <c r="D904" s="3"/>
      <c r="E904" s="4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4"/>
      <c r="R904" s="3"/>
      <c r="S904" s="3"/>
      <c r="T904" s="3"/>
      <c r="U904" s="3"/>
    </row>
    <row r="905">
      <c r="A905" s="3"/>
      <c r="B905" s="3"/>
      <c r="C905" s="3"/>
      <c r="D905" s="3"/>
      <c r="E905" s="4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4"/>
      <c r="R905" s="3"/>
      <c r="S905" s="3"/>
      <c r="T905" s="3"/>
      <c r="U905" s="3"/>
    </row>
    <row r="906">
      <c r="A906" s="3"/>
      <c r="B906" s="3"/>
      <c r="C906" s="3"/>
      <c r="D906" s="3"/>
      <c r="E906" s="4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4"/>
      <c r="R906" s="3"/>
      <c r="S906" s="3"/>
      <c r="T906" s="3"/>
      <c r="U906" s="3"/>
    </row>
    <row r="907">
      <c r="A907" s="3"/>
      <c r="B907" s="3"/>
      <c r="C907" s="3"/>
      <c r="D907" s="3"/>
      <c r="E907" s="4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4"/>
      <c r="R907" s="3"/>
      <c r="S907" s="3"/>
      <c r="T907" s="3"/>
      <c r="U907" s="3"/>
    </row>
    <row r="908">
      <c r="A908" s="3"/>
      <c r="B908" s="3"/>
      <c r="C908" s="3"/>
      <c r="D908" s="3"/>
      <c r="E908" s="4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4"/>
      <c r="R908" s="3"/>
      <c r="S908" s="3"/>
      <c r="T908" s="3"/>
      <c r="U908" s="3"/>
    </row>
    <row r="909">
      <c r="A909" s="3"/>
      <c r="B909" s="3"/>
      <c r="C909" s="3"/>
      <c r="D909" s="3"/>
      <c r="E909" s="4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4"/>
      <c r="R909" s="3"/>
      <c r="S909" s="3"/>
      <c r="T909" s="3"/>
      <c r="U909" s="3"/>
    </row>
    <row r="910">
      <c r="A910" s="3"/>
      <c r="B910" s="3"/>
      <c r="C910" s="3"/>
      <c r="D910" s="3"/>
      <c r="E910" s="4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4"/>
      <c r="R910" s="3"/>
      <c r="S910" s="3"/>
      <c r="T910" s="3"/>
      <c r="U910" s="3"/>
    </row>
    <row r="911">
      <c r="A911" s="3"/>
      <c r="B911" s="3"/>
      <c r="C911" s="3"/>
      <c r="D911" s="3"/>
      <c r="E911" s="4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4"/>
      <c r="R911" s="3"/>
      <c r="S911" s="3"/>
      <c r="T911" s="3"/>
      <c r="U911" s="3"/>
    </row>
    <row r="912">
      <c r="A912" s="3"/>
      <c r="B912" s="3"/>
      <c r="C912" s="3"/>
      <c r="D912" s="3"/>
      <c r="E912" s="4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4"/>
      <c r="R912" s="3"/>
      <c r="S912" s="3"/>
      <c r="T912" s="3"/>
      <c r="U912" s="3"/>
    </row>
    <row r="913">
      <c r="A913" s="3"/>
      <c r="B913" s="3"/>
      <c r="C913" s="3"/>
      <c r="D913" s="3"/>
      <c r="E913" s="4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4"/>
      <c r="R913" s="3"/>
      <c r="S913" s="3"/>
      <c r="T913" s="3"/>
      <c r="U913" s="3"/>
    </row>
    <row r="914">
      <c r="A914" s="3"/>
      <c r="B914" s="3"/>
      <c r="C914" s="3"/>
      <c r="D914" s="3"/>
      <c r="E914" s="4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4"/>
      <c r="R914" s="3"/>
      <c r="S914" s="3"/>
      <c r="T914" s="3"/>
      <c r="U914" s="3"/>
    </row>
    <row r="915">
      <c r="A915" s="3"/>
      <c r="B915" s="3"/>
      <c r="C915" s="3"/>
      <c r="D915" s="3"/>
      <c r="E915" s="4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4"/>
      <c r="R915" s="3"/>
      <c r="S915" s="3"/>
      <c r="T915" s="3"/>
      <c r="U915" s="3"/>
    </row>
    <row r="916">
      <c r="A916" s="3"/>
      <c r="B916" s="3"/>
      <c r="C916" s="3"/>
      <c r="D916" s="3"/>
      <c r="E916" s="4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4"/>
      <c r="R916" s="3"/>
      <c r="S916" s="3"/>
      <c r="T916" s="3"/>
      <c r="U916" s="3"/>
    </row>
    <row r="917">
      <c r="A917" s="3"/>
      <c r="B917" s="3"/>
      <c r="C917" s="3"/>
      <c r="D917" s="3"/>
      <c r="E917" s="4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4"/>
      <c r="R917" s="3"/>
      <c r="S917" s="3"/>
      <c r="T917" s="3"/>
      <c r="U917" s="3"/>
    </row>
    <row r="918">
      <c r="A918" s="3"/>
      <c r="B918" s="3"/>
      <c r="C918" s="3"/>
      <c r="D918" s="3"/>
      <c r="E918" s="4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4"/>
      <c r="R918" s="3"/>
      <c r="S918" s="3"/>
      <c r="T918" s="3"/>
      <c r="U918" s="3"/>
    </row>
    <row r="919">
      <c r="A919" s="3"/>
      <c r="B919" s="3"/>
      <c r="C919" s="3"/>
      <c r="D919" s="3"/>
      <c r="E919" s="4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4"/>
      <c r="R919" s="3"/>
      <c r="S919" s="3"/>
      <c r="T919" s="3"/>
      <c r="U919" s="3"/>
    </row>
    <row r="920">
      <c r="A920" s="3"/>
      <c r="B920" s="3"/>
      <c r="C920" s="3"/>
      <c r="D920" s="3"/>
      <c r="E920" s="4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4"/>
      <c r="R920" s="3"/>
      <c r="S920" s="3"/>
      <c r="T920" s="3"/>
      <c r="U920" s="3"/>
    </row>
    <row r="921">
      <c r="A921" s="3"/>
      <c r="B921" s="3"/>
      <c r="C921" s="3"/>
      <c r="D921" s="3"/>
      <c r="E921" s="4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4"/>
      <c r="R921" s="3"/>
      <c r="S921" s="3"/>
      <c r="T921" s="3"/>
      <c r="U921" s="3"/>
    </row>
    <row r="922">
      <c r="A922" s="3"/>
      <c r="B922" s="3"/>
      <c r="C922" s="3"/>
      <c r="D922" s="3"/>
      <c r="E922" s="4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4"/>
      <c r="R922" s="3"/>
      <c r="S922" s="3"/>
      <c r="T922" s="3"/>
      <c r="U922" s="3"/>
    </row>
    <row r="923">
      <c r="A923" s="3"/>
      <c r="B923" s="3"/>
      <c r="C923" s="3"/>
      <c r="D923" s="3"/>
      <c r="E923" s="4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4"/>
      <c r="R923" s="3"/>
      <c r="S923" s="3"/>
      <c r="T923" s="3"/>
      <c r="U923" s="3"/>
    </row>
    <row r="924">
      <c r="A924" s="3"/>
      <c r="B924" s="3"/>
      <c r="C924" s="3"/>
      <c r="D924" s="3"/>
      <c r="E924" s="4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4"/>
      <c r="R924" s="3"/>
      <c r="S924" s="3"/>
      <c r="T924" s="3"/>
      <c r="U924" s="3"/>
    </row>
    <row r="925">
      <c r="A925" s="3"/>
      <c r="B925" s="3"/>
      <c r="C925" s="3"/>
      <c r="D925" s="3"/>
      <c r="E925" s="4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4"/>
      <c r="R925" s="3"/>
      <c r="S925" s="3"/>
      <c r="T925" s="3"/>
      <c r="U925" s="3"/>
    </row>
    <row r="926">
      <c r="A926" s="3"/>
      <c r="B926" s="3"/>
      <c r="C926" s="3"/>
      <c r="D926" s="3"/>
      <c r="E926" s="4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4"/>
      <c r="R926" s="3"/>
      <c r="S926" s="3"/>
      <c r="T926" s="3"/>
      <c r="U926" s="3"/>
    </row>
    <row r="927">
      <c r="A927" s="3"/>
      <c r="B927" s="3"/>
      <c r="C927" s="3"/>
      <c r="D927" s="3"/>
      <c r="E927" s="4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4"/>
      <c r="R927" s="3"/>
      <c r="S927" s="3"/>
      <c r="T927" s="3"/>
      <c r="U927" s="3"/>
    </row>
    <row r="928">
      <c r="A928" s="3"/>
      <c r="B928" s="3"/>
      <c r="C928" s="3"/>
      <c r="D928" s="3"/>
      <c r="E928" s="4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4"/>
      <c r="R928" s="3"/>
      <c r="S928" s="3"/>
      <c r="T928" s="3"/>
      <c r="U928" s="3"/>
    </row>
    <row r="929">
      <c r="A929" s="3"/>
      <c r="B929" s="3"/>
      <c r="C929" s="3"/>
      <c r="D929" s="3"/>
      <c r="E929" s="4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4"/>
      <c r="R929" s="3"/>
      <c r="S929" s="3"/>
      <c r="T929" s="3"/>
      <c r="U929" s="3"/>
    </row>
    <row r="930">
      <c r="A930" s="3"/>
      <c r="B930" s="3"/>
      <c r="C930" s="3"/>
      <c r="D930" s="3"/>
      <c r="E930" s="4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4"/>
      <c r="R930" s="3"/>
      <c r="S930" s="3"/>
      <c r="T930" s="3"/>
      <c r="U930" s="3"/>
    </row>
    <row r="931">
      <c r="A931" s="3"/>
      <c r="B931" s="3"/>
      <c r="C931" s="3"/>
      <c r="D931" s="3"/>
      <c r="E931" s="4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4"/>
      <c r="R931" s="3"/>
      <c r="S931" s="3"/>
      <c r="T931" s="3"/>
      <c r="U931" s="3"/>
    </row>
    <row r="932">
      <c r="A932" s="3"/>
      <c r="B932" s="3"/>
      <c r="C932" s="3"/>
      <c r="D932" s="3"/>
      <c r="E932" s="4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4"/>
      <c r="R932" s="3"/>
      <c r="S932" s="3"/>
      <c r="T932" s="3"/>
      <c r="U932" s="3"/>
    </row>
    <row r="933">
      <c r="A933" s="3"/>
      <c r="B933" s="3"/>
      <c r="C933" s="3"/>
      <c r="D933" s="3"/>
      <c r="E933" s="4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4"/>
      <c r="R933" s="3"/>
      <c r="S933" s="3"/>
      <c r="T933" s="3"/>
      <c r="U933" s="3"/>
    </row>
    <row r="934">
      <c r="A934" s="3"/>
      <c r="B934" s="3"/>
      <c r="C934" s="3"/>
      <c r="D934" s="3"/>
      <c r="E934" s="4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4"/>
      <c r="R934" s="3"/>
      <c r="S934" s="3"/>
      <c r="T934" s="3"/>
      <c r="U934" s="3"/>
    </row>
    <row r="935">
      <c r="A935" s="3"/>
      <c r="B935" s="3"/>
      <c r="C935" s="3"/>
      <c r="D935" s="3"/>
      <c r="E935" s="4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4"/>
      <c r="R935" s="3"/>
      <c r="S935" s="3"/>
      <c r="T935" s="3"/>
      <c r="U935" s="3"/>
    </row>
    <row r="936">
      <c r="A936" s="3"/>
      <c r="B936" s="3"/>
      <c r="C936" s="3"/>
      <c r="D936" s="3"/>
      <c r="E936" s="4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4"/>
      <c r="R936" s="3"/>
      <c r="S936" s="3"/>
      <c r="T936" s="3"/>
      <c r="U936" s="3"/>
    </row>
    <row r="937">
      <c r="A937" s="3"/>
      <c r="B937" s="3"/>
      <c r="C937" s="3"/>
      <c r="D937" s="3"/>
      <c r="E937" s="4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4"/>
      <c r="R937" s="3"/>
      <c r="S937" s="3"/>
      <c r="T937" s="3"/>
      <c r="U937" s="3"/>
    </row>
    <row r="938">
      <c r="A938" s="3"/>
      <c r="B938" s="3"/>
      <c r="C938" s="3"/>
      <c r="D938" s="3"/>
      <c r="E938" s="4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4"/>
      <c r="R938" s="3"/>
      <c r="S938" s="3"/>
      <c r="T938" s="3"/>
      <c r="U938" s="3"/>
    </row>
    <row r="939">
      <c r="A939" s="3"/>
      <c r="B939" s="3"/>
      <c r="C939" s="3"/>
      <c r="D939" s="3"/>
      <c r="E939" s="4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4"/>
      <c r="R939" s="3"/>
      <c r="S939" s="3"/>
      <c r="T939" s="3"/>
      <c r="U939" s="3"/>
    </row>
    <row r="940">
      <c r="A940" s="3"/>
      <c r="B940" s="3"/>
      <c r="C940" s="3"/>
      <c r="D940" s="3"/>
      <c r="E940" s="4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4"/>
      <c r="R940" s="3"/>
      <c r="S940" s="3"/>
      <c r="T940" s="3"/>
      <c r="U940" s="3"/>
    </row>
    <row r="941">
      <c r="A941" s="3"/>
      <c r="B941" s="3"/>
      <c r="C941" s="3"/>
      <c r="D941" s="3"/>
      <c r="E941" s="4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4"/>
      <c r="R941" s="3"/>
      <c r="S941" s="3"/>
      <c r="T941" s="3"/>
      <c r="U941" s="3"/>
    </row>
    <row r="942">
      <c r="A942" s="3"/>
      <c r="B942" s="3"/>
      <c r="C942" s="3"/>
      <c r="D942" s="3"/>
      <c r="E942" s="4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4"/>
      <c r="R942" s="3"/>
      <c r="S942" s="3"/>
      <c r="T942" s="3"/>
      <c r="U942" s="3"/>
    </row>
    <row r="943">
      <c r="A943" s="3"/>
      <c r="B943" s="3"/>
      <c r="C943" s="3"/>
      <c r="D943" s="3"/>
      <c r="E943" s="4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4"/>
      <c r="R943" s="3"/>
      <c r="S943" s="3"/>
      <c r="T943" s="3"/>
      <c r="U943" s="3"/>
    </row>
    <row r="944">
      <c r="A944" s="3"/>
      <c r="B944" s="3"/>
      <c r="C944" s="3"/>
      <c r="D944" s="3"/>
      <c r="E944" s="4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4"/>
      <c r="R944" s="3"/>
      <c r="S944" s="3"/>
      <c r="T944" s="3"/>
      <c r="U944" s="3"/>
    </row>
    <row r="945">
      <c r="A945" s="3"/>
      <c r="B945" s="3"/>
      <c r="C945" s="3"/>
      <c r="D945" s="3"/>
      <c r="E945" s="4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4"/>
      <c r="R945" s="3"/>
      <c r="S945" s="3"/>
      <c r="T945" s="3"/>
      <c r="U945" s="3"/>
    </row>
    <row r="946">
      <c r="A946" s="3"/>
      <c r="B946" s="3"/>
      <c r="C946" s="3"/>
      <c r="D946" s="3"/>
      <c r="E946" s="4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4"/>
      <c r="R946" s="3"/>
      <c r="S946" s="3"/>
      <c r="T946" s="3"/>
      <c r="U946" s="3"/>
    </row>
    <row r="947">
      <c r="A947" s="3"/>
      <c r="B947" s="3"/>
      <c r="C947" s="3"/>
      <c r="D947" s="3"/>
      <c r="E947" s="4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4"/>
      <c r="R947" s="3"/>
      <c r="S947" s="3"/>
      <c r="T947" s="3"/>
      <c r="U947" s="3"/>
    </row>
    <row r="948">
      <c r="A948" s="3"/>
      <c r="B948" s="3"/>
      <c r="C948" s="3"/>
      <c r="D948" s="3"/>
      <c r="E948" s="4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4"/>
      <c r="R948" s="3"/>
      <c r="S948" s="3"/>
      <c r="T948" s="3"/>
      <c r="U948" s="3"/>
    </row>
    <row r="949">
      <c r="A949" s="3"/>
      <c r="B949" s="3"/>
      <c r="C949" s="3"/>
      <c r="D949" s="3"/>
      <c r="E949" s="4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4"/>
      <c r="R949" s="3"/>
      <c r="S949" s="3"/>
      <c r="T949" s="3"/>
      <c r="U949" s="3"/>
    </row>
    <row r="950">
      <c r="A950" s="3"/>
      <c r="B950" s="3"/>
      <c r="C950" s="3"/>
      <c r="D950" s="3"/>
      <c r="E950" s="4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4"/>
      <c r="R950" s="3"/>
      <c r="S950" s="3"/>
      <c r="T950" s="3"/>
      <c r="U950" s="3"/>
    </row>
    <row r="951">
      <c r="A951" s="3"/>
      <c r="B951" s="3"/>
      <c r="C951" s="3"/>
      <c r="D951" s="3"/>
      <c r="E951" s="4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4"/>
      <c r="R951" s="3"/>
      <c r="S951" s="3"/>
      <c r="T951" s="3"/>
      <c r="U951" s="3"/>
    </row>
    <row r="952">
      <c r="A952" s="3"/>
      <c r="B952" s="3"/>
      <c r="C952" s="3"/>
      <c r="D952" s="3"/>
      <c r="E952" s="4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4"/>
      <c r="R952" s="3"/>
      <c r="S952" s="3"/>
      <c r="T952" s="3"/>
      <c r="U952" s="3"/>
    </row>
    <row r="953">
      <c r="A953" s="3"/>
      <c r="B953" s="3"/>
      <c r="C953" s="3"/>
      <c r="D953" s="3"/>
      <c r="E953" s="4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4"/>
      <c r="R953" s="3"/>
      <c r="S953" s="3"/>
      <c r="T953" s="3"/>
      <c r="U953" s="3"/>
    </row>
    <row r="954">
      <c r="A954" s="3"/>
      <c r="B954" s="3"/>
      <c r="C954" s="3"/>
      <c r="D954" s="3"/>
      <c r="E954" s="4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4"/>
      <c r="R954" s="3"/>
      <c r="S954" s="3"/>
      <c r="T954" s="3"/>
      <c r="U954" s="3"/>
    </row>
    <row r="955">
      <c r="A955" s="3"/>
      <c r="B955" s="3"/>
      <c r="C955" s="3"/>
      <c r="D955" s="3"/>
      <c r="E955" s="4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4"/>
      <c r="R955" s="3"/>
      <c r="S955" s="3"/>
      <c r="T955" s="3"/>
      <c r="U955" s="3"/>
    </row>
    <row r="956">
      <c r="A956" s="3"/>
      <c r="B956" s="3"/>
      <c r="C956" s="3"/>
      <c r="D956" s="3"/>
      <c r="E956" s="4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4"/>
      <c r="R956" s="3"/>
      <c r="S956" s="3"/>
      <c r="T956" s="3"/>
      <c r="U956" s="3"/>
    </row>
    <row r="957">
      <c r="A957" s="3"/>
      <c r="B957" s="3"/>
      <c r="C957" s="3"/>
      <c r="D957" s="3"/>
      <c r="E957" s="4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4"/>
      <c r="R957" s="3"/>
      <c r="S957" s="3"/>
      <c r="T957" s="3"/>
      <c r="U957" s="3"/>
    </row>
    <row r="958">
      <c r="A958" s="3"/>
      <c r="B958" s="3"/>
      <c r="C958" s="3"/>
      <c r="D958" s="3"/>
      <c r="E958" s="4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4"/>
      <c r="R958" s="3"/>
      <c r="S958" s="3"/>
      <c r="T958" s="3"/>
      <c r="U958" s="3"/>
    </row>
    <row r="959">
      <c r="A959" s="3"/>
      <c r="B959" s="3"/>
      <c r="C959" s="3"/>
      <c r="D959" s="3"/>
      <c r="E959" s="4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4"/>
      <c r="R959" s="3"/>
      <c r="S959" s="3"/>
      <c r="T959" s="3"/>
      <c r="U959" s="3"/>
    </row>
    <row r="960">
      <c r="A960" s="3"/>
      <c r="B960" s="3"/>
      <c r="C960" s="3"/>
      <c r="D960" s="3"/>
      <c r="E960" s="4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4"/>
      <c r="R960" s="3"/>
      <c r="S960" s="3"/>
      <c r="T960" s="3"/>
      <c r="U960" s="3"/>
    </row>
    <row r="961">
      <c r="A961" s="3"/>
      <c r="B961" s="3"/>
      <c r="C961" s="3"/>
      <c r="D961" s="3"/>
      <c r="E961" s="4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4"/>
      <c r="R961" s="3"/>
      <c r="S961" s="3"/>
      <c r="T961" s="3"/>
      <c r="U961" s="3"/>
    </row>
    <row r="962">
      <c r="A962" s="3"/>
      <c r="B962" s="3"/>
      <c r="C962" s="3"/>
      <c r="D962" s="3"/>
      <c r="E962" s="4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4"/>
      <c r="R962" s="3"/>
      <c r="S962" s="3"/>
      <c r="T962" s="3"/>
      <c r="U962" s="3"/>
    </row>
    <row r="963">
      <c r="A963" s="3"/>
      <c r="B963" s="3"/>
      <c r="C963" s="3"/>
      <c r="D963" s="3"/>
      <c r="E963" s="4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4"/>
      <c r="R963" s="3"/>
      <c r="S963" s="3"/>
      <c r="T963" s="3"/>
      <c r="U963" s="3"/>
    </row>
    <row r="964">
      <c r="A964" s="3"/>
      <c r="B964" s="3"/>
      <c r="C964" s="3"/>
      <c r="D964" s="3"/>
      <c r="E964" s="4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4"/>
      <c r="R964" s="3"/>
      <c r="S964" s="3"/>
      <c r="T964" s="3"/>
      <c r="U964" s="3"/>
    </row>
    <row r="965">
      <c r="A965" s="3"/>
      <c r="B965" s="3"/>
      <c r="C965" s="3"/>
      <c r="D965" s="3"/>
      <c r="E965" s="4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4"/>
      <c r="R965" s="3"/>
      <c r="S965" s="3"/>
      <c r="T965" s="3"/>
      <c r="U965" s="3"/>
    </row>
    <row r="966">
      <c r="A966" s="3"/>
      <c r="B966" s="3"/>
      <c r="C966" s="3"/>
      <c r="D966" s="3"/>
      <c r="E966" s="4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4"/>
      <c r="R966" s="3"/>
      <c r="S966" s="3"/>
      <c r="T966" s="3"/>
      <c r="U966" s="3"/>
    </row>
    <row r="967">
      <c r="A967" s="3"/>
      <c r="B967" s="3"/>
      <c r="C967" s="3"/>
      <c r="D967" s="3"/>
      <c r="E967" s="4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4"/>
      <c r="R967" s="3"/>
      <c r="S967" s="3"/>
      <c r="T967" s="3"/>
      <c r="U967" s="3"/>
    </row>
    <row r="968">
      <c r="A968" s="3"/>
      <c r="B968" s="3"/>
      <c r="C968" s="3"/>
      <c r="D968" s="3"/>
      <c r="E968" s="4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4"/>
      <c r="R968" s="3"/>
      <c r="S968" s="3"/>
      <c r="T968" s="3"/>
      <c r="U968" s="3"/>
    </row>
    <row r="969">
      <c r="A969" s="3"/>
      <c r="B969" s="3"/>
      <c r="C969" s="3"/>
      <c r="D969" s="3"/>
      <c r="E969" s="4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4"/>
      <c r="R969" s="3"/>
      <c r="S969" s="3"/>
      <c r="T969" s="3"/>
      <c r="U969" s="3"/>
    </row>
    <row r="970">
      <c r="A970" s="3"/>
      <c r="B970" s="3"/>
      <c r="C970" s="3"/>
      <c r="D970" s="3"/>
      <c r="E970" s="4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4"/>
      <c r="R970" s="3"/>
      <c r="S970" s="3"/>
      <c r="T970" s="3"/>
      <c r="U970" s="3"/>
    </row>
    <row r="971">
      <c r="A971" s="3"/>
      <c r="B971" s="3"/>
      <c r="C971" s="3"/>
      <c r="D971" s="3"/>
      <c r="E971" s="4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4"/>
      <c r="R971" s="3"/>
      <c r="S971" s="3"/>
      <c r="T971" s="3"/>
      <c r="U971" s="3"/>
    </row>
    <row r="972">
      <c r="A972" s="3"/>
      <c r="B972" s="3"/>
      <c r="C972" s="3"/>
      <c r="D972" s="3"/>
      <c r="E972" s="4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4"/>
      <c r="R972" s="3"/>
      <c r="S972" s="3"/>
      <c r="T972" s="3"/>
      <c r="U972" s="3"/>
    </row>
    <row r="973">
      <c r="A973" s="3"/>
      <c r="B973" s="3"/>
      <c r="C973" s="3"/>
      <c r="D973" s="3"/>
      <c r="E973" s="4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4"/>
      <c r="R973" s="3"/>
      <c r="S973" s="3"/>
      <c r="T973" s="3"/>
      <c r="U973" s="3"/>
    </row>
    <row r="974">
      <c r="A974" s="3"/>
      <c r="B974" s="3"/>
      <c r="C974" s="3"/>
      <c r="D974" s="3"/>
      <c r="E974" s="4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4"/>
      <c r="R974" s="3"/>
      <c r="S974" s="3"/>
      <c r="T974" s="3"/>
      <c r="U974" s="3"/>
    </row>
    <row r="975">
      <c r="A975" s="3"/>
      <c r="B975" s="3"/>
      <c r="C975" s="3"/>
      <c r="D975" s="3"/>
      <c r="E975" s="4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4"/>
      <c r="R975" s="3"/>
      <c r="S975" s="3"/>
      <c r="T975" s="3"/>
      <c r="U975" s="3"/>
    </row>
    <row r="976">
      <c r="A976" s="3"/>
      <c r="B976" s="3"/>
      <c r="C976" s="3"/>
      <c r="D976" s="3"/>
      <c r="E976" s="4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4"/>
      <c r="R976" s="3"/>
      <c r="S976" s="3"/>
      <c r="T976" s="3"/>
      <c r="U976" s="3"/>
    </row>
    <row r="977">
      <c r="A977" s="3"/>
      <c r="B977" s="3"/>
      <c r="C977" s="3"/>
      <c r="D977" s="3"/>
      <c r="E977" s="4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4"/>
      <c r="R977" s="3"/>
      <c r="S977" s="3"/>
      <c r="T977" s="3"/>
      <c r="U977" s="3"/>
    </row>
    <row r="978">
      <c r="A978" s="3"/>
      <c r="B978" s="3"/>
      <c r="C978" s="3"/>
      <c r="D978" s="3"/>
      <c r="E978" s="4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4"/>
      <c r="R978" s="3"/>
      <c r="S978" s="3"/>
      <c r="T978" s="3"/>
      <c r="U978" s="3"/>
    </row>
    <row r="979">
      <c r="A979" s="3"/>
      <c r="B979" s="3"/>
      <c r="C979" s="3"/>
      <c r="D979" s="3"/>
      <c r="E979" s="4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4"/>
      <c r="R979" s="3"/>
      <c r="S979" s="3"/>
      <c r="T979" s="3"/>
      <c r="U979" s="3"/>
    </row>
    <row r="980">
      <c r="A980" s="3"/>
      <c r="B980" s="3"/>
      <c r="C980" s="3"/>
      <c r="D980" s="3"/>
      <c r="E980" s="4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4"/>
      <c r="R980" s="3"/>
      <c r="S980" s="3"/>
      <c r="T980" s="3"/>
      <c r="U980" s="3"/>
    </row>
    <row r="981">
      <c r="A981" s="3"/>
      <c r="B981" s="3"/>
      <c r="C981" s="3"/>
      <c r="D981" s="3"/>
      <c r="E981" s="4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4"/>
      <c r="R981" s="3"/>
      <c r="S981" s="3"/>
      <c r="T981" s="3"/>
      <c r="U981" s="3"/>
    </row>
    <row r="982">
      <c r="A982" s="3"/>
      <c r="B982" s="3"/>
      <c r="C982" s="3"/>
      <c r="D982" s="3"/>
      <c r="E982" s="4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4"/>
      <c r="R982" s="3"/>
      <c r="S982" s="3"/>
      <c r="T982" s="3"/>
      <c r="U982" s="3"/>
    </row>
    <row r="983">
      <c r="A983" s="3"/>
      <c r="B983" s="3"/>
      <c r="C983" s="3"/>
      <c r="D983" s="3"/>
      <c r="E983" s="4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4"/>
      <c r="R983" s="3"/>
      <c r="S983" s="3"/>
      <c r="T983" s="3"/>
      <c r="U983" s="3"/>
    </row>
    <row r="984">
      <c r="A984" s="3"/>
      <c r="B984" s="3"/>
      <c r="C984" s="3"/>
      <c r="D984" s="3"/>
      <c r="E984" s="4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4"/>
      <c r="R984" s="3"/>
      <c r="S984" s="3"/>
      <c r="T984" s="3"/>
      <c r="U984" s="3"/>
    </row>
    <row r="985">
      <c r="A985" s="3"/>
      <c r="B985" s="3"/>
      <c r="C985" s="3"/>
      <c r="D985" s="3"/>
      <c r="E985" s="4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4"/>
      <c r="R985" s="3"/>
      <c r="S985" s="3"/>
      <c r="T985" s="3"/>
      <c r="U985" s="3"/>
    </row>
    <row r="986">
      <c r="A986" s="3"/>
      <c r="B986" s="3"/>
      <c r="C986" s="3"/>
      <c r="D986" s="3"/>
      <c r="E986" s="4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4"/>
      <c r="R986" s="3"/>
      <c r="S986" s="3"/>
      <c r="T986" s="3"/>
      <c r="U986" s="3"/>
    </row>
    <row r="987">
      <c r="A987" s="3"/>
      <c r="B987" s="3"/>
      <c r="C987" s="3"/>
      <c r="D987" s="3"/>
      <c r="E987" s="4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4"/>
      <c r="R987" s="3"/>
      <c r="S987" s="3"/>
      <c r="T987" s="3"/>
      <c r="U987" s="3"/>
    </row>
    <row r="988">
      <c r="A988" s="3"/>
      <c r="B988" s="3"/>
      <c r="C988" s="3"/>
      <c r="D988" s="3"/>
      <c r="E988" s="4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4"/>
      <c r="R988" s="3"/>
      <c r="S988" s="3"/>
      <c r="T988" s="3"/>
      <c r="U988" s="3"/>
    </row>
    <row r="989">
      <c r="A989" s="3"/>
      <c r="B989" s="3"/>
      <c r="C989" s="3"/>
      <c r="D989" s="3"/>
      <c r="E989" s="4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4"/>
      <c r="R989" s="3"/>
      <c r="S989" s="3"/>
      <c r="T989" s="3"/>
      <c r="U989" s="3"/>
    </row>
    <row r="990">
      <c r="A990" s="3"/>
      <c r="B990" s="3"/>
      <c r="C990" s="3"/>
      <c r="D990" s="3"/>
      <c r="E990" s="4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4"/>
      <c r="R990" s="3"/>
      <c r="S990" s="3"/>
      <c r="T990" s="3"/>
      <c r="U990" s="3"/>
    </row>
    <row r="991">
      <c r="A991" s="3"/>
      <c r="B991" s="3"/>
      <c r="C991" s="3"/>
      <c r="D991" s="3"/>
      <c r="E991" s="4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4"/>
      <c r="R991" s="3"/>
      <c r="S991" s="3"/>
      <c r="T991" s="3"/>
      <c r="U991" s="3"/>
    </row>
    <row r="992">
      <c r="A992" s="3"/>
      <c r="B992" s="3"/>
      <c r="C992" s="3"/>
      <c r="D992" s="3"/>
      <c r="E992" s="4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4"/>
      <c r="R992" s="3"/>
      <c r="S992" s="3"/>
      <c r="T992" s="3"/>
      <c r="U992" s="3"/>
    </row>
    <row r="993">
      <c r="A993" s="3"/>
      <c r="B993" s="3"/>
      <c r="C993" s="3"/>
      <c r="D993" s="3"/>
      <c r="E993" s="4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4"/>
      <c r="R993" s="3"/>
      <c r="S993" s="3"/>
      <c r="T993" s="3"/>
      <c r="U993" s="3"/>
    </row>
    <row r="994">
      <c r="A994" s="3"/>
      <c r="B994" s="3"/>
      <c r="C994" s="3"/>
      <c r="D994" s="3"/>
      <c r="E994" s="4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4"/>
      <c r="R994" s="3"/>
      <c r="S994" s="3"/>
      <c r="T994" s="3"/>
      <c r="U994" s="3"/>
    </row>
    <row r="995">
      <c r="A995" s="3"/>
      <c r="B995" s="3"/>
      <c r="C995" s="3"/>
      <c r="D995" s="3"/>
      <c r="E995" s="4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4"/>
      <c r="R995" s="3"/>
      <c r="S995" s="3"/>
      <c r="T995" s="3"/>
      <c r="U995" s="3"/>
    </row>
    <row r="996">
      <c r="A996" s="3"/>
      <c r="B996" s="3"/>
      <c r="C996" s="3"/>
      <c r="D996" s="3"/>
      <c r="E996" s="4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4"/>
      <c r="R996" s="3"/>
      <c r="S996" s="3"/>
      <c r="T996" s="3"/>
      <c r="U996" s="3"/>
    </row>
    <row r="997">
      <c r="A997" s="3"/>
      <c r="B997" s="3"/>
      <c r="C997" s="3"/>
      <c r="D997" s="3"/>
      <c r="E997" s="4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4"/>
      <c r="R997" s="3"/>
      <c r="S997" s="3"/>
      <c r="T997" s="3"/>
      <c r="U997" s="3"/>
    </row>
    <row r="998">
      <c r="A998" s="3"/>
      <c r="B998" s="3"/>
      <c r="C998" s="3"/>
      <c r="D998" s="3"/>
      <c r="E998" s="4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4"/>
      <c r="R998" s="3"/>
      <c r="S998" s="3"/>
      <c r="T998" s="3"/>
      <c r="U998" s="3"/>
    </row>
    <row r="999">
      <c r="A999" s="3"/>
      <c r="B999" s="3"/>
      <c r="C999" s="3"/>
      <c r="D999" s="3"/>
      <c r="E999" s="4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4"/>
      <c r="R999" s="3"/>
      <c r="S999" s="3"/>
      <c r="T999" s="3"/>
      <c r="U999" s="3"/>
    </row>
    <row r="1000">
      <c r="A1000" s="3"/>
      <c r="B1000" s="3"/>
      <c r="C1000" s="3"/>
      <c r="D1000" s="3"/>
      <c r="E1000" s="4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4"/>
      <c r="R1000" s="3"/>
      <c r="S1000" s="3"/>
      <c r="T1000" s="3"/>
      <c r="U1000" s="3"/>
    </row>
    <row r="1001">
      <c r="A1001" s="3"/>
      <c r="B1001" s="3"/>
      <c r="C1001" s="3"/>
      <c r="D1001" s="3"/>
      <c r="E1001" s="4"/>
      <c r="F1001" s="3"/>
      <c r="G1001" s="5"/>
      <c r="H1001" s="3"/>
      <c r="I1001" s="3"/>
      <c r="J1001" s="3"/>
      <c r="K1001" s="3"/>
      <c r="L1001" s="3"/>
      <c r="M1001" s="3"/>
      <c r="N1001" s="3"/>
      <c r="O1001" s="3"/>
      <c r="P1001" s="3"/>
      <c r="Q1001" s="4"/>
      <c r="R1001" s="3"/>
      <c r="S1001" s="3"/>
      <c r="T1001" s="3"/>
      <c r="U1001" s="3"/>
    </row>
    <row r="1002">
      <c r="A1002" s="3"/>
      <c r="B1002" s="3"/>
      <c r="C1002" s="3"/>
      <c r="D1002" s="3"/>
      <c r="E1002" s="4"/>
      <c r="F1002" s="3"/>
      <c r="G1002" s="5"/>
      <c r="H1002" s="3"/>
      <c r="I1002" s="3"/>
      <c r="J1002" s="3"/>
      <c r="K1002" s="3"/>
      <c r="L1002" s="3"/>
      <c r="M1002" s="3"/>
      <c r="N1002" s="3"/>
      <c r="O1002" s="3"/>
      <c r="P1002" s="3"/>
      <c r="Q1002" s="4"/>
      <c r="R1002" s="3"/>
      <c r="S1002" s="3"/>
      <c r="T1002" s="3"/>
      <c r="U1002" s="3"/>
    </row>
    <row r="1003">
      <c r="A1003" s="3"/>
      <c r="B1003" s="3"/>
      <c r="C1003" s="3"/>
      <c r="D1003" s="3"/>
      <c r="E1003" s="4"/>
      <c r="F1003" s="3"/>
      <c r="G1003" s="5"/>
      <c r="H1003" s="3"/>
      <c r="I1003" s="3"/>
      <c r="J1003" s="3"/>
      <c r="K1003" s="3"/>
      <c r="L1003" s="3"/>
      <c r="M1003" s="3"/>
      <c r="N1003" s="3"/>
      <c r="O1003" s="3"/>
      <c r="P1003" s="3"/>
      <c r="Q1003" s="4"/>
      <c r="R1003" s="3"/>
      <c r="S1003" s="3"/>
      <c r="T1003" s="3"/>
      <c r="U1003" s="3"/>
    </row>
    <row r="1004">
      <c r="A1004" s="3"/>
      <c r="B1004" s="3"/>
      <c r="C1004" s="3"/>
      <c r="D1004" s="3"/>
      <c r="E1004" s="4"/>
      <c r="F1004" s="3"/>
      <c r="G1004" s="5"/>
      <c r="H1004" s="3"/>
      <c r="I1004" s="3"/>
      <c r="J1004" s="3"/>
      <c r="K1004" s="3"/>
      <c r="L1004" s="3"/>
      <c r="M1004" s="3"/>
      <c r="N1004" s="3"/>
      <c r="O1004" s="3"/>
      <c r="P1004" s="3"/>
      <c r="Q1004" s="4"/>
      <c r="R1004" s="3"/>
      <c r="S1004" s="3"/>
      <c r="T1004" s="3"/>
      <c r="U1004" s="3"/>
    </row>
    <row r="1005">
      <c r="A1005" s="3"/>
      <c r="B1005" s="3"/>
      <c r="C1005" s="3"/>
      <c r="D1005" s="3"/>
      <c r="E1005" s="4"/>
      <c r="F1005" s="3"/>
      <c r="G1005" s="5"/>
      <c r="H1005" s="3"/>
      <c r="I1005" s="3"/>
      <c r="J1005" s="3"/>
      <c r="K1005" s="3"/>
      <c r="L1005" s="3"/>
      <c r="M1005" s="3"/>
      <c r="N1005" s="3"/>
      <c r="O1005" s="3"/>
      <c r="P1005" s="3"/>
      <c r="Q1005" s="4"/>
      <c r="R1005" s="3"/>
      <c r="S1005" s="3"/>
      <c r="T1005" s="3"/>
      <c r="U1005" s="3"/>
    </row>
    <row r="1006">
      <c r="A1006" s="3"/>
      <c r="B1006" s="3"/>
      <c r="C1006" s="3"/>
      <c r="D1006" s="3"/>
      <c r="E1006" s="4"/>
      <c r="F1006" s="3"/>
      <c r="G1006" s="5"/>
      <c r="H1006" s="3"/>
      <c r="I1006" s="3"/>
      <c r="J1006" s="3"/>
      <c r="K1006" s="3"/>
      <c r="L1006" s="3"/>
      <c r="M1006" s="3"/>
      <c r="N1006" s="3"/>
      <c r="O1006" s="3"/>
      <c r="P1006" s="3"/>
      <c r="Q1006" s="4"/>
      <c r="R1006" s="3"/>
      <c r="S1006" s="3"/>
      <c r="T1006" s="3"/>
      <c r="U1006" s="3"/>
    </row>
    <row r="1007">
      <c r="A1007" s="3"/>
      <c r="B1007" s="3"/>
      <c r="C1007" s="3"/>
      <c r="D1007" s="3"/>
      <c r="E1007" s="4"/>
      <c r="F1007" s="3"/>
      <c r="G1007" s="5"/>
      <c r="H1007" s="3"/>
      <c r="I1007" s="3"/>
      <c r="J1007" s="3"/>
      <c r="K1007" s="3"/>
      <c r="L1007" s="3"/>
      <c r="M1007" s="3"/>
      <c r="N1007" s="3"/>
      <c r="O1007" s="3"/>
      <c r="P1007" s="3"/>
      <c r="Q1007" s="4"/>
      <c r="R1007" s="3"/>
      <c r="S1007" s="3"/>
      <c r="T1007" s="3"/>
      <c r="U1007" s="3"/>
    </row>
    <row r="1008">
      <c r="A1008" s="3"/>
      <c r="B1008" s="3"/>
      <c r="C1008" s="3"/>
      <c r="D1008" s="3"/>
      <c r="E1008" s="4"/>
      <c r="F1008" s="3"/>
      <c r="G1008" s="5"/>
      <c r="H1008" s="3"/>
      <c r="I1008" s="3"/>
      <c r="J1008" s="3"/>
      <c r="K1008" s="3"/>
      <c r="L1008" s="3"/>
      <c r="M1008" s="3"/>
      <c r="N1008" s="3"/>
      <c r="O1008" s="3"/>
      <c r="P1008" s="3"/>
      <c r="Q1008" s="4"/>
      <c r="R1008" s="3"/>
      <c r="S1008" s="3"/>
      <c r="T1008" s="3"/>
      <c r="U1008" s="3"/>
    </row>
    <row r="1009">
      <c r="A1009" s="3"/>
      <c r="B1009" s="3"/>
      <c r="C1009" s="3"/>
      <c r="D1009" s="3"/>
      <c r="E1009" s="4"/>
      <c r="F1009" s="3"/>
      <c r="G1009" s="5"/>
      <c r="H1009" s="3"/>
      <c r="I1009" s="3"/>
      <c r="J1009" s="3"/>
      <c r="K1009" s="3"/>
      <c r="L1009" s="3"/>
      <c r="M1009" s="3"/>
      <c r="N1009" s="3"/>
      <c r="O1009" s="3"/>
      <c r="P1009" s="3"/>
      <c r="Q1009" s="4"/>
      <c r="R1009" s="3"/>
      <c r="S1009" s="3"/>
      <c r="T1009" s="3"/>
      <c r="U1009" s="3"/>
    </row>
    <row r="1010">
      <c r="A1010" s="3"/>
      <c r="B1010" s="3"/>
      <c r="C1010" s="3"/>
      <c r="D1010" s="3"/>
      <c r="E1010" s="4"/>
      <c r="F1010" s="3"/>
      <c r="G1010" s="5"/>
      <c r="H1010" s="3"/>
      <c r="I1010" s="3"/>
      <c r="J1010" s="3"/>
      <c r="K1010" s="3"/>
      <c r="L1010" s="3"/>
      <c r="M1010" s="3"/>
      <c r="N1010" s="3"/>
      <c r="O1010" s="3"/>
      <c r="P1010" s="3"/>
      <c r="Q1010" s="4"/>
      <c r="R1010" s="3"/>
      <c r="S1010" s="3"/>
      <c r="T1010" s="3"/>
      <c r="U1010" s="3"/>
    </row>
    <row r="1011">
      <c r="A1011" s="3"/>
      <c r="B1011" s="3"/>
      <c r="C1011" s="3"/>
      <c r="D1011" s="3"/>
      <c r="E1011" s="4"/>
      <c r="F1011" s="3"/>
      <c r="G1011" s="5"/>
      <c r="H1011" s="3"/>
      <c r="I1011" s="3"/>
      <c r="J1011" s="3"/>
      <c r="K1011" s="3"/>
      <c r="L1011" s="3"/>
      <c r="M1011" s="3"/>
      <c r="N1011" s="3"/>
      <c r="O1011" s="3"/>
      <c r="P1011" s="3"/>
      <c r="Q1011" s="4"/>
      <c r="R1011" s="3"/>
      <c r="S1011" s="3"/>
      <c r="T1011" s="3"/>
      <c r="U1011" s="3"/>
    </row>
    <row r="1012">
      <c r="A1012" s="3"/>
      <c r="B1012" s="3"/>
      <c r="C1012" s="3"/>
      <c r="D1012" s="3"/>
      <c r="E1012" s="4"/>
      <c r="F1012" s="3"/>
      <c r="G1012" s="5"/>
      <c r="H1012" s="3"/>
      <c r="I1012" s="3"/>
      <c r="J1012" s="3"/>
      <c r="K1012" s="3"/>
      <c r="L1012" s="3"/>
      <c r="M1012" s="3"/>
      <c r="N1012" s="3"/>
      <c r="O1012" s="3"/>
      <c r="P1012" s="3"/>
      <c r="Q1012" s="4"/>
      <c r="R1012" s="3"/>
      <c r="S1012" s="3"/>
      <c r="T1012" s="3"/>
      <c r="U1012" s="3"/>
    </row>
    <row r="1013">
      <c r="A1013" s="3"/>
      <c r="B1013" s="3"/>
      <c r="C1013" s="3"/>
      <c r="D1013" s="3"/>
      <c r="E1013" s="4"/>
      <c r="F1013" s="3"/>
      <c r="G1013" s="5"/>
      <c r="H1013" s="3"/>
      <c r="I1013" s="3"/>
      <c r="J1013" s="3"/>
      <c r="K1013" s="3"/>
      <c r="L1013" s="3"/>
      <c r="M1013" s="3"/>
      <c r="N1013" s="3"/>
      <c r="O1013" s="3"/>
      <c r="P1013" s="3"/>
      <c r="Q1013" s="4"/>
      <c r="R1013" s="3"/>
      <c r="S1013" s="3"/>
      <c r="T1013" s="3"/>
      <c r="U1013" s="3"/>
    </row>
    <row r="1014">
      <c r="A1014" s="3"/>
      <c r="B1014" s="3"/>
      <c r="C1014" s="3"/>
      <c r="D1014" s="3"/>
      <c r="E1014" s="4"/>
      <c r="F1014" s="3"/>
      <c r="G1014" s="5"/>
      <c r="H1014" s="3"/>
      <c r="I1014" s="3"/>
      <c r="J1014" s="3"/>
      <c r="K1014" s="3"/>
      <c r="L1014" s="3"/>
      <c r="M1014" s="3"/>
      <c r="N1014" s="3"/>
      <c r="O1014" s="3"/>
      <c r="P1014" s="3"/>
      <c r="Q1014" s="4"/>
      <c r="R1014" s="3"/>
      <c r="S1014" s="3"/>
      <c r="T1014" s="3"/>
      <c r="U1014" s="3"/>
    </row>
    <row r="1015">
      <c r="A1015" s="3"/>
      <c r="B1015" s="3"/>
      <c r="C1015" s="3"/>
      <c r="D1015" s="3"/>
      <c r="E1015" s="4"/>
      <c r="F1015" s="3"/>
      <c r="G1015" s="5"/>
      <c r="H1015" s="3"/>
      <c r="I1015" s="3"/>
      <c r="J1015" s="3"/>
      <c r="K1015" s="3"/>
      <c r="L1015" s="3"/>
      <c r="M1015" s="3"/>
      <c r="N1015" s="3"/>
      <c r="O1015" s="3"/>
      <c r="P1015" s="3"/>
      <c r="Q1015" s="4"/>
      <c r="R1015" s="3"/>
      <c r="S1015" s="3"/>
      <c r="T1015" s="3"/>
      <c r="U1015" s="3"/>
    </row>
    <row r="1016">
      <c r="A1016" s="3"/>
      <c r="B1016" s="3"/>
      <c r="C1016" s="3"/>
      <c r="D1016" s="3"/>
      <c r="E1016" s="4"/>
      <c r="F1016" s="3"/>
      <c r="G1016" s="5"/>
      <c r="H1016" s="3"/>
      <c r="I1016" s="3"/>
      <c r="J1016" s="3"/>
      <c r="K1016" s="3"/>
      <c r="L1016" s="3"/>
      <c r="M1016" s="3"/>
      <c r="N1016" s="3"/>
      <c r="O1016" s="3"/>
      <c r="P1016" s="3"/>
      <c r="Q1016" s="4"/>
      <c r="R1016" s="3"/>
      <c r="S1016" s="3"/>
      <c r="T1016" s="3"/>
      <c r="U1016" s="3"/>
    </row>
    <row r="1017">
      <c r="A1017" s="3"/>
      <c r="B1017" s="3"/>
      <c r="C1017" s="3"/>
      <c r="D1017" s="3"/>
      <c r="E1017" s="4"/>
      <c r="F1017" s="3"/>
      <c r="G1017" s="5"/>
      <c r="H1017" s="3"/>
      <c r="I1017" s="3"/>
      <c r="J1017" s="3"/>
      <c r="K1017" s="3"/>
      <c r="L1017" s="3"/>
      <c r="M1017" s="3"/>
      <c r="N1017" s="3"/>
      <c r="O1017" s="3"/>
      <c r="P1017" s="3"/>
      <c r="Q1017" s="4"/>
      <c r="R1017" s="3"/>
      <c r="S1017" s="3"/>
      <c r="T1017" s="3"/>
      <c r="U1017" s="3"/>
    </row>
    <row r="1018">
      <c r="A1018" s="3"/>
      <c r="B1018" s="3"/>
      <c r="C1018" s="3"/>
      <c r="D1018" s="3"/>
      <c r="E1018" s="4"/>
      <c r="F1018" s="3"/>
      <c r="G1018" s="5"/>
      <c r="H1018" s="3"/>
      <c r="I1018" s="3"/>
      <c r="J1018" s="3"/>
      <c r="K1018" s="3"/>
      <c r="L1018" s="3"/>
      <c r="M1018" s="3"/>
      <c r="N1018" s="3"/>
      <c r="O1018" s="3"/>
      <c r="P1018" s="3"/>
      <c r="Q1018" s="4"/>
      <c r="R1018" s="3"/>
      <c r="S1018" s="3"/>
      <c r="T1018" s="3"/>
      <c r="U1018" s="3"/>
    </row>
    <row r="1019">
      <c r="A1019" s="3"/>
      <c r="B1019" s="3"/>
      <c r="C1019" s="3"/>
      <c r="D1019" s="3"/>
      <c r="E1019" s="4"/>
      <c r="F1019" s="3"/>
      <c r="G1019" s="5"/>
      <c r="H1019" s="3"/>
      <c r="I1019" s="3"/>
      <c r="J1019" s="3"/>
      <c r="K1019" s="3"/>
      <c r="L1019" s="3"/>
      <c r="M1019" s="3"/>
      <c r="N1019" s="3"/>
      <c r="O1019" s="3"/>
      <c r="P1019" s="3"/>
      <c r="Q1019" s="4"/>
      <c r="R1019" s="3"/>
      <c r="S1019" s="3"/>
      <c r="T1019" s="3"/>
      <c r="U1019" s="3"/>
    </row>
    <row r="1020">
      <c r="A1020" s="3"/>
      <c r="B1020" s="3"/>
      <c r="C1020" s="3"/>
      <c r="D1020" s="3"/>
      <c r="E1020" s="4"/>
      <c r="F1020" s="3"/>
      <c r="G1020" s="5"/>
      <c r="H1020" s="3"/>
      <c r="I1020" s="3"/>
      <c r="J1020" s="3"/>
      <c r="K1020" s="3"/>
      <c r="L1020" s="3"/>
      <c r="M1020" s="3"/>
      <c r="N1020" s="3"/>
      <c r="O1020" s="3"/>
      <c r="P1020" s="3"/>
      <c r="Q1020" s="4"/>
      <c r="R1020" s="3"/>
      <c r="S1020" s="3"/>
      <c r="T1020" s="3"/>
      <c r="U1020" s="3"/>
    </row>
    <row r="1021">
      <c r="A1021" s="3"/>
      <c r="B1021" s="3"/>
      <c r="C1021" s="3"/>
      <c r="D1021" s="3"/>
      <c r="E1021" s="4"/>
      <c r="F1021" s="3"/>
      <c r="G1021" s="5"/>
      <c r="H1021" s="3"/>
      <c r="I1021" s="3"/>
      <c r="J1021" s="3"/>
      <c r="K1021" s="3"/>
      <c r="L1021" s="3"/>
      <c r="M1021" s="3"/>
      <c r="N1021" s="3"/>
      <c r="O1021" s="3"/>
      <c r="P1021" s="3"/>
      <c r="Q1021" s="4"/>
      <c r="R1021" s="3"/>
      <c r="S1021" s="3"/>
      <c r="T1021" s="3"/>
      <c r="U1021" s="3"/>
    </row>
    <row r="1022">
      <c r="A1022" s="3"/>
      <c r="B1022" s="3"/>
      <c r="C1022" s="3"/>
      <c r="D1022" s="3"/>
      <c r="E1022" s="4"/>
      <c r="F1022" s="3"/>
      <c r="G1022" s="5"/>
      <c r="H1022" s="3"/>
      <c r="I1022" s="3"/>
      <c r="J1022" s="3"/>
      <c r="K1022" s="3"/>
      <c r="L1022" s="3"/>
      <c r="M1022" s="3"/>
      <c r="N1022" s="3"/>
      <c r="O1022" s="3"/>
      <c r="P1022" s="3"/>
      <c r="Q1022" s="4"/>
      <c r="R1022" s="3"/>
      <c r="S1022" s="3"/>
      <c r="T1022" s="3"/>
      <c r="U1022" s="3"/>
    </row>
    <row r="1023">
      <c r="A1023" s="3"/>
      <c r="B1023" s="3"/>
      <c r="C1023" s="3"/>
      <c r="D1023" s="3"/>
      <c r="E1023" s="4"/>
      <c r="F1023" s="3"/>
      <c r="G1023" s="5"/>
      <c r="H1023" s="3"/>
      <c r="I1023" s="3"/>
      <c r="J1023" s="3"/>
      <c r="K1023" s="3"/>
      <c r="L1023" s="3"/>
      <c r="M1023" s="3"/>
      <c r="N1023" s="3"/>
      <c r="O1023" s="3"/>
      <c r="P1023" s="3"/>
      <c r="Q1023" s="4"/>
      <c r="R1023" s="3"/>
      <c r="S1023" s="3"/>
      <c r="T1023" s="3"/>
      <c r="U1023" s="3"/>
    </row>
    <row r="1024">
      <c r="A1024" s="3"/>
      <c r="B1024" s="3"/>
      <c r="C1024" s="3"/>
      <c r="D1024" s="3"/>
      <c r="E1024" s="4"/>
      <c r="F1024" s="3"/>
      <c r="G1024" s="5"/>
      <c r="H1024" s="3"/>
      <c r="I1024" s="3"/>
      <c r="J1024" s="3"/>
      <c r="K1024" s="3"/>
      <c r="L1024" s="3"/>
      <c r="M1024" s="3"/>
      <c r="N1024" s="3"/>
      <c r="O1024" s="3"/>
      <c r="P1024" s="3"/>
      <c r="Q1024" s="4"/>
      <c r="R1024" s="3"/>
      <c r="S1024" s="3"/>
      <c r="T1024" s="3"/>
      <c r="U1024" s="3"/>
    </row>
    <row r="1025">
      <c r="A1025" s="3"/>
      <c r="B1025" s="3"/>
      <c r="C1025" s="3"/>
      <c r="D1025" s="3"/>
      <c r="E1025" s="4"/>
      <c r="F1025" s="3"/>
      <c r="G1025" s="5"/>
      <c r="H1025" s="3"/>
      <c r="I1025" s="3"/>
      <c r="J1025" s="3"/>
      <c r="K1025" s="3"/>
      <c r="L1025" s="3"/>
      <c r="M1025" s="3"/>
      <c r="N1025" s="3"/>
      <c r="O1025" s="3"/>
      <c r="P1025" s="3"/>
      <c r="Q1025" s="4"/>
      <c r="R1025" s="3"/>
      <c r="S1025" s="3"/>
      <c r="T1025" s="3"/>
      <c r="U1025" s="3"/>
    </row>
    <row r="1026">
      <c r="A1026" s="3"/>
      <c r="B1026" s="3"/>
      <c r="C1026" s="3"/>
      <c r="D1026" s="3"/>
      <c r="E1026" s="4"/>
      <c r="F1026" s="3"/>
      <c r="G1026" s="5"/>
      <c r="H1026" s="3"/>
      <c r="I1026" s="3"/>
      <c r="J1026" s="3"/>
      <c r="K1026" s="3"/>
      <c r="L1026" s="3"/>
      <c r="M1026" s="3"/>
      <c r="N1026" s="3"/>
      <c r="O1026" s="3"/>
      <c r="P1026" s="3"/>
      <c r="Q1026" s="4"/>
      <c r="R1026" s="3"/>
      <c r="S1026" s="3"/>
      <c r="T1026" s="3"/>
      <c r="U1026" s="3"/>
    </row>
    <row r="1027">
      <c r="A1027" s="3"/>
      <c r="B1027" s="3"/>
      <c r="C1027" s="3"/>
      <c r="D1027" s="3"/>
      <c r="E1027" s="4"/>
      <c r="F1027" s="3"/>
      <c r="G1027" s="5"/>
      <c r="H1027" s="3"/>
      <c r="I1027" s="3"/>
      <c r="J1027" s="3"/>
      <c r="K1027" s="3"/>
      <c r="L1027" s="3"/>
      <c r="M1027" s="3"/>
      <c r="N1027" s="3"/>
      <c r="O1027" s="3"/>
      <c r="P1027" s="3"/>
      <c r="Q1027" s="4"/>
      <c r="R1027" s="3"/>
      <c r="S1027" s="3"/>
      <c r="T1027" s="3"/>
      <c r="U1027" s="3"/>
    </row>
    <row r="1028">
      <c r="A1028" s="3"/>
      <c r="B1028" s="3"/>
      <c r="C1028" s="3"/>
      <c r="D1028" s="3"/>
      <c r="E1028" s="4"/>
      <c r="F1028" s="3"/>
      <c r="G1028" s="5"/>
      <c r="H1028" s="3"/>
      <c r="I1028" s="3"/>
      <c r="J1028" s="3"/>
      <c r="K1028" s="3"/>
      <c r="L1028" s="3"/>
      <c r="M1028" s="3"/>
      <c r="N1028" s="3"/>
      <c r="O1028" s="3"/>
      <c r="P1028" s="3"/>
      <c r="Q1028" s="4"/>
      <c r="R1028" s="3"/>
      <c r="S1028" s="3"/>
      <c r="T1028" s="3"/>
      <c r="U1028" s="3"/>
    </row>
    <row r="1029">
      <c r="A1029" s="3"/>
      <c r="B1029" s="3"/>
      <c r="C1029" s="3"/>
      <c r="D1029" s="3"/>
      <c r="E1029" s="4"/>
      <c r="F1029" s="3"/>
      <c r="G1029" s="5"/>
      <c r="H1029" s="3"/>
      <c r="I1029" s="3"/>
      <c r="J1029" s="3"/>
      <c r="K1029" s="3"/>
      <c r="L1029" s="3"/>
      <c r="M1029" s="3"/>
      <c r="N1029" s="3"/>
      <c r="O1029" s="3"/>
      <c r="P1029" s="3"/>
      <c r="Q1029" s="4"/>
      <c r="R1029" s="3"/>
      <c r="S1029" s="3"/>
      <c r="T1029" s="3"/>
      <c r="U1029" s="3"/>
    </row>
    <row r="1030">
      <c r="A1030" s="3"/>
      <c r="B1030" s="3"/>
      <c r="C1030" s="3"/>
      <c r="D1030" s="3"/>
      <c r="E1030" s="4"/>
      <c r="F1030" s="3"/>
      <c r="G1030" s="5"/>
      <c r="H1030" s="3"/>
      <c r="I1030" s="3"/>
      <c r="J1030" s="3"/>
      <c r="K1030" s="3"/>
      <c r="L1030" s="3"/>
      <c r="M1030" s="3"/>
      <c r="N1030" s="3"/>
      <c r="O1030" s="3"/>
      <c r="P1030" s="3"/>
      <c r="Q1030" s="4"/>
      <c r="R1030" s="3"/>
      <c r="S1030" s="3"/>
      <c r="T1030" s="3"/>
      <c r="U1030" s="3"/>
    </row>
    <row r="1031">
      <c r="A1031" s="3"/>
      <c r="B1031" s="3"/>
      <c r="C1031" s="3"/>
      <c r="D1031" s="3"/>
      <c r="E1031" s="4"/>
      <c r="F1031" s="3"/>
      <c r="G1031" s="5"/>
      <c r="H1031" s="3"/>
      <c r="I1031" s="3"/>
      <c r="J1031" s="3"/>
      <c r="K1031" s="3"/>
      <c r="L1031" s="3"/>
      <c r="M1031" s="3"/>
      <c r="N1031" s="3"/>
      <c r="O1031" s="3"/>
      <c r="P1031" s="3"/>
      <c r="Q1031" s="4"/>
      <c r="R1031" s="3"/>
      <c r="S1031" s="3"/>
      <c r="T1031" s="3"/>
      <c r="U1031" s="3"/>
    </row>
    <row r="1032">
      <c r="A1032" s="3"/>
      <c r="B1032" s="3"/>
      <c r="C1032" s="3"/>
      <c r="D1032" s="3"/>
      <c r="E1032" s="4"/>
      <c r="F1032" s="3"/>
      <c r="G1032" s="5"/>
      <c r="H1032" s="3"/>
      <c r="I1032" s="3"/>
      <c r="J1032" s="3"/>
      <c r="K1032" s="3"/>
      <c r="L1032" s="3"/>
      <c r="M1032" s="3"/>
      <c r="N1032" s="3"/>
      <c r="O1032" s="3"/>
      <c r="P1032" s="3"/>
      <c r="Q1032" s="4"/>
      <c r="R1032" s="3"/>
      <c r="S1032" s="3"/>
      <c r="T1032" s="3"/>
      <c r="U1032" s="3"/>
    </row>
    <row r="1033">
      <c r="A1033" s="3"/>
      <c r="B1033" s="3"/>
      <c r="C1033" s="3"/>
      <c r="D1033" s="3"/>
      <c r="E1033" s="4"/>
      <c r="F1033" s="3"/>
      <c r="G1033" s="5"/>
      <c r="H1033" s="3"/>
      <c r="I1033" s="3"/>
      <c r="J1033" s="3"/>
      <c r="K1033" s="3"/>
      <c r="L1033" s="3"/>
      <c r="M1033" s="3"/>
      <c r="N1033" s="3"/>
      <c r="O1033" s="3"/>
      <c r="P1033" s="3"/>
      <c r="Q1033" s="4"/>
      <c r="R1033" s="3"/>
      <c r="S1033" s="3"/>
      <c r="T1033" s="3"/>
      <c r="U1033" s="3"/>
    </row>
    <row r="1034">
      <c r="A1034" s="3"/>
      <c r="B1034" s="3"/>
      <c r="C1034" s="3"/>
      <c r="D1034" s="3"/>
      <c r="E1034" s="4"/>
      <c r="F1034" s="3"/>
      <c r="G1034" s="5"/>
      <c r="H1034" s="3"/>
      <c r="I1034" s="3"/>
      <c r="J1034" s="3"/>
      <c r="K1034" s="3"/>
      <c r="L1034" s="3"/>
      <c r="M1034" s="3"/>
      <c r="N1034" s="3"/>
      <c r="O1034" s="3"/>
      <c r="P1034" s="3"/>
      <c r="Q1034" s="4"/>
      <c r="R1034" s="3"/>
      <c r="S1034" s="3"/>
      <c r="T1034" s="3"/>
      <c r="U1034" s="3"/>
    </row>
    <row r="1035">
      <c r="A1035" s="3"/>
      <c r="B1035" s="3"/>
      <c r="C1035" s="3"/>
      <c r="D1035" s="3"/>
      <c r="E1035" s="4"/>
      <c r="F1035" s="3"/>
      <c r="G1035" s="5"/>
      <c r="H1035" s="3"/>
      <c r="I1035" s="3"/>
      <c r="J1035" s="3"/>
      <c r="K1035" s="3"/>
      <c r="L1035" s="3"/>
      <c r="M1035" s="3"/>
      <c r="N1035" s="3"/>
      <c r="O1035" s="3"/>
      <c r="P1035" s="3"/>
      <c r="Q1035" s="4"/>
      <c r="R1035" s="3"/>
      <c r="S1035" s="3"/>
      <c r="T1035" s="3"/>
      <c r="U1035" s="3"/>
    </row>
    <row r="1036">
      <c r="A1036" s="3"/>
      <c r="B1036" s="3"/>
      <c r="C1036" s="3"/>
      <c r="D1036" s="3"/>
      <c r="E1036" s="4"/>
      <c r="F1036" s="3"/>
      <c r="G1036" s="5"/>
      <c r="H1036" s="3"/>
      <c r="I1036" s="3"/>
      <c r="J1036" s="3"/>
      <c r="K1036" s="3"/>
      <c r="L1036" s="3"/>
      <c r="M1036" s="3"/>
      <c r="N1036" s="3"/>
      <c r="O1036" s="3"/>
      <c r="P1036" s="3"/>
      <c r="Q1036" s="4"/>
      <c r="R1036" s="3"/>
      <c r="S1036" s="3"/>
      <c r="T1036" s="3"/>
      <c r="U1036" s="3"/>
    </row>
    <row r="1037">
      <c r="A1037" s="3"/>
      <c r="B1037" s="3"/>
      <c r="C1037" s="3"/>
      <c r="D1037" s="3"/>
      <c r="E1037" s="4"/>
      <c r="F1037" s="3"/>
      <c r="G1037" s="5"/>
      <c r="H1037" s="3"/>
      <c r="I1037" s="3"/>
      <c r="J1037" s="3"/>
      <c r="K1037" s="3"/>
      <c r="L1037" s="3"/>
      <c r="M1037" s="3"/>
      <c r="N1037" s="3"/>
      <c r="O1037" s="3"/>
      <c r="P1037" s="3"/>
      <c r="Q1037" s="4"/>
      <c r="R1037" s="3"/>
      <c r="S1037" s="3"/>
      <c r="T1037" s="3"/>
      <c r="U1037" s="3"/>
    </row>
    <row r="1038">
      <c r="A1038" s="3"/>
      <c r="B1038" s="3"/>
      <c r="C1038" s="3"/>
      <c r="D1038" s="3"/>
      <c r="E1038" s="4"/>
      <c r="F1038" s="3"/>
      <c r="G1038" s="5"/>
      <c r="H1038" s="3"/>
      <c r="I1038" s="3"/>
      <c r="J1038" s="3"/>
      <c r="K1038" s="3"/>
      <c r="L1038" s="3"/>
      <c r="M1038" s="3"/>
      <c r="N1038" s="3"/>
      <c r="O1038" s="3"/>
      <c r="P1038" s="3"/>
      <c r="Q1038" s="4"/>
      <c r="R1038" s="3"/>
      <c r="S1038" s="3"/>
      <c r="T1038" s="3"/>
      <c r="U1038" s="3"/>
    </row>
    <row r="1039">
      <c r="A1039" s="3"/>
      <c r="B1039" s="3"/>
      <c r="C1039" s="3"/>
      <c r="D1039" s="3"/>
      <c r="E1039" s="4"/>
      <c r="F1039" s="3"/>
      <c r="G1039" s="5"/>
      <c r="H1039" s="3"/>
      <c r="I1039" s="3"/>
      <c r="J1039" s="3"/>
      <c r="K1039" s="3"/>
      <c r="L1039" s="3"/>
      <c r="M1039" s="3"/>
      <c r="N1039" s="3"/>
      <c r="O1039" s="3"/>
      <c r="P1039" s="3"/>
      <c r="Q1039" s="4"/>
      <c r="R1039" s="3"/>
      <c r="S1039" s="3"/>
      <c r="T1039" s="3"/>
      <c r="U1039" s="3"/>
    </row>
    <row r="1040">
      <c r="A1040" s="3"/>
      <c r="B1040" s="3"/>
      <c r="C1040" s="3"/>
      <c r="D1040" s="3"/>
      <c r="E1040" s="4"/>
      <c r="F1040" s="3"/>
      <c r="G1040" s="5"/>
      <c r="H1040" s="3"/>
      <c r="I1040" s="3"/>
      <c r="J1040" s="3"/>
      <c r="K1040" s="3"/>
      <c r="L1040" s="3"/>
      <c r="M1040" s="3"/>
      <c r="N1040" s="3"/>
      <c r="O1040" s="3"/>
      <c r="P1040" s="3"/>
      <c r="Q1040" s="4"/>
      <c r="R1040" s="3"/>
      <c r="S1040" s="3"/>
      <c r="T1040" s="3"/>
      <c r="U1040" s="3"/>
    </row>
    <row r="1041">
      <c r="A1041" s="3"/>
      <c r="B1041" s="3"/>
      <c r="C1041" s="3"/>
      <c r="D1041" s="3"/>
      <c r="E1041" s="4"/>
      <c r="F1041" s="3"/>
      <c r="G1041" s="5"/>
      <c r="H1041" s="3"/>
      <c r="I1041" s="3"/>
      <c r="J1041" s="3"/>
      <c r="K1041" s="3"/>
      <c r="L1041" s="3"/>
      <c r="M1041" s="3"/>
      <c r="N1041" s="3"/>
      <c r="O1041" s="3"/>
      <c r="P1041" s="3"/>
      <c r="Q1041" s="4"/>
      <c r="R1041" s="3"/>
      <c r="S1041" s="3"/>
      <c r="T1041" s="3"/>
      <c r="U1041" s="3"/>
    </row>
    <row r="1042">
      <c r="A1042" s="3"/>
      <c r="B1042" s="3"/>
      <c r="C1042" s="3"/>
      <c r="D1042" s="3"/>
      <c r="E1042" s="4"/>
      <c r="F1042" s="3"/>
      <c r="G1042" s="5"/>
      <c r="H1042" s="3"/>
      <c r="I1042" s="3"/>
      <c r="J1042" s="3"/>
      <c r="K1042" s="3"/>
      <c r="L1042" s="3"/>
      <c r="M1042" s="3"/>
      <c r="N1042" s="3"/>
      <c r="O1042" s="3"/>
      <c r="P1042" s="3"/>
      <c r="Q1042" s="4"/>
      <c r="R1042" s="3"/>
      <c r="S1042" s="3"/>
      <c r="T1042" s="3"/>
      <c r="U1042" s="3"/>
    </row>
    <row r="1043">
      <c r="A1043" s="3"/>
      <c r="B1043" s="3"/>
      <c r="C1043" s="3"/>
      <c r="D1043" s="3"/>
      <c r="E1043" s="4"/>
      <c r="F1043" s="3"/>
      <c r="G1043" s="5"/>
      <c r="H1043" s="3"/>
      <c r="I1043" s="3"/>
      <c r="J1043" s="3"/>
      <c r="K1043" s="3"/>
      <c r="L1043" s="3"/>
      <c r="M1043" s="3"/>
      <c r="N1043" s="3"/>
      <c r="O1043" s="3"/>
      <c r="P1043" s="3"/>
      <c r="Q1043" s="4"/>
      <c r="R1043" s="3"/>
      <c r="S1043" s="3"/>
      <c r="T1043" s="3"/>
      <c r="U1043" s="3"/>
    </row>
    <row r="1044">
      <c r="A1044" s="3"/>
      <c r="B1044" s="3"/>
      <c r="C1044" s="3"/>
      <c r="D1044" s="3"/>
      <c r="E1044" s="4"/>
      <c r="F1044" s="3"/>
      <c r="G1044" s="5"/>
      <c r="H1044" s="3"/>
      <c r="I1044" s="3"/>
      <c r="J1044" s="3"/>
      <c r="K1044" s="3"/>
      <c r="L1044" s="3"/>
      <c r="M1044" s="3"/>
      <c r="N1044" s="3"/>
      <c r="O1044" s="3"/>
      <c r="P1044" s="3"/>
      <c r="Q1044" s="4"/>
      <c r="R1044" s="3"/>
      <c r="S1044" s="3"/>
      <c r="T1044" s="3"/>
      <c r="U1044" s="3"/>
    </row>
    <row r="1045">
      <c r="A1045" s="3"/>
      <c r="B1045" s="3"/>
      <c r="C1045" s="3"/>
      <c r="D1045" s="3"/>
      <c r="E1045" s="4"/>
      <c r="F1045" s="3"/>
      <c r="G1045" s="5"/>
      <c r="H1045" s="3"/>
      <c r="I1045" s="3"/>
      <c r="J1045" s="3"/>
      <c r="K1045" s="3"/>
      <c r="L1045" s="3"/>
      <c r="M1045" s="3"/>
      <c r="N1045" s="3"/>
      <c r="O1045" s="3"/>
      <c r="P1045" s="3"/>
      <c r="Q1045" s="4"/>
      <c r="R1045" s="3"/>
      <c r="S1045" s="3"/>
      <c r="T1045" s="3"/>
      <c r="U1045" s="3"/>
    </row>
    <row r="1046">
      <c r="A1046" s="3"/>
      <c r="B1046" s="3"/>
      <c r="C1046" s="3"/>
      <c r="D1046" s="3"/>
      <c r="E1046" s="4"/>
      <c r="F1046" s="3"/>
      <c r="G1046" s="5"/>
      <c r="H1046" s="3"/>
      <c r="I1046" s="3"/>
      <c r="J1046" s="3"/>
      <c r="K1046" s="3"/>
      <c r="L1046" s="3"/>
      <c r="M1046" s="3"/>
      <c r="N1046" s="3"/>
      <c r="O1046" s="3"/>
      <c r="P1046" s="3"/>
      <c r="Q1046" s="4"/>
      <c r="R1046" s="3"/>
      <c r="S1046" s="3"/>
      <c r="T1046" s="3"/>
      <c r="U1046" s="3"/>
    </row>
    <row r="1047">
      <c r="A1047" s="3"/>
      <c r="B1047" s="3"/>
      <c r="C1047" s="3"/>
      <c r="D1047" s="3"/>
      <c r="E1047" s="4"/>
      <c r="F1047" s="3"/>
      <c r="G1047" s="5"/>
      <c r="H1047" s="3"/>
      <c r="I1047" s="3"/>
      <c r="J1047" s="3"/>
      <c r="K1047" s="3"/>
      <c r="L1047" s="3"/>
      <c r="M1047" s="3"/>
      <c r="N1047" s="3"/>
      <c r="O1047" s="3"/>
      <c r="P1047" s="3"/>
      <c r="Q1047" s="4"/>
      <c r="R1047" s="3"/>
      <c r="S1047" s="3"/>
      <c r="T1047" s="3"/>
      <c r="U1047" s="3"/>
    </row>
    <row r="1048">
      <c r="A1048" s="3"/>
      <c r="B1048" s="3"/>
      <c r="C1048" s="3"/>
      <c r="D1048" s="3"/>
      <c r="E1048" s="4"/>
      <c r="F1048" s="3"/>
      <c r="G1048" s="5"/>
      <c r="H1048" s="3"/>
      <c r="I1048" s="3"/>
      <c r="J1048" s="3"/>
      <c r="K1048" s="3"/>
      <c r="L1048" s="3"/>
      <c r="M1048" s="3"/>
      <c r="N1048" s="3"/>
      <c r="O1048" s="3"/>
      <c r="P1048" s="3"/>
      <c r="Q1048" s="4"/>
      <c r="R1048" s="3"/>
      <c r="S1048" s="3"/>
      <c r="T1048" s="3"/>
      <c r="U1048" s="3"/>
    </row>
    <row r="1049">
      <c r="A1049" s="3"/>
      <c r="B1049" s="3"/>
      <c r="C1049" s="3"/>
      <c r="D1049" s="3"/>
      <c r="E1049" s="4"/>
      <c r="F1049" s="3"/>
      <c r="G1049" s="5"/>
      <c r="H1049" s="3"/>
      <c r="I1049" s="3"/>
      <c r="J1049" s="3"/>
      <c r="K1049" s="3"/>
      <c r="L1049" s="3"/>
      <c r="M1049" s="3"/>
      <c r="N1049" s="3"/>
      <c r="O1049" s="3"/>
      <c r="P1049" s="3"/>
      <c r="Q1049" s="4"/>
      <c r="R1049" s="3"/>
      <c r="S1049" s="3"/>
      <c r="T1049" s="3"/>
      <c r="U1049" s="3"/>
    </row>
    <row r="1050">
      <c r="A1050" s="3"/>
      <c r="B1050" s="3"/>
      <c r="C1050" s="3"/>
      <c r="D1050" s="3"/>
      <c r="E1050" s="4"/>
      <c r="F1050" s="3"/>
      <c r="G1050" s="5"/>
      <c r="H1050" s="3"/>
      <c r="I1050" s="3"/>
      <c r="J1050" s="3"/>
      <c r="K1050" s="3"/>
      <c r="L1050" s="3"/>
      <c r="M1050" s="3"/>
      <c r="N1050" s="3"/>
      <c r="O1050" s="3"/>
      <c r="P1050" s="3"/>
      <c r="Q1050" s="4"/>
      <c r="R1050" s="3"/>
      <c r="S1050" s="3"/>
      <c r="T1050" s="3"/>
      <c r="U1050" s="3"/>
    </row>
    <row r="1051">
      <c r="A1051" s="3"/>
      <c r="B1051" s="3"/>
      <c r="C1051" s="3"/>
      <c r="D1051" s="3"/>
      <c r="E1051" s="4"/>
      <c r="F1051" s="3"/>
      <c r="G1051" s="5"/>
      <c r="H1051" s="3"/>
      <c r="I1051" s="3"/>
      <c r="J1051" s="3"/>
      <c r="K1051" s="3"/>
      <c r="L1051" s="3"/>
      <c r="M1051" s="3"/>
      <c r="N1051" s="3"/>
      <c r="O1051" s="3"/>
      <c r="P1051" s="3"/>
      <c r="Q1051" s="4"/>
      <c r="R1051" s="3"/>
      <c r="S1051" s="3"/>
      <c r="T1051" s="3"/>
      <c r="U1051" s="3"/>
    </row>
    <row r="1052">
      <c r="A1052" s="3"/>
      <c r="B1052" s="3"/>
      <c r="C1052" s="3"/>
      <c r="D1052" s="3"/>
      <c r="E1052" s="4"/>
      <c r="F1052" s="3"/>
      <c r="G1052" s="5"/>
      <c r="H1052" s="3"/>
      <c r="I1052" s="3"/>
      <c r="J1052" s="3"/>
      <c r="K1052" s="3"/>
      <c r="L1052" s="3"/>
      <c r="M1052" s="3"/>
      <c r="N1052" s="3"/>
      <c r="O1052" s="3"/>
      <c r="P1052" s="3"/>
      <c r="Q1052" s="4"/>
      <c r="R1052" s="3"/>
      <c r="S1052" s="3"/>
      <c r="T1052" s="3"/>
      <c r="U1052" s="3"/>
    </row>
    <row r="1053">
      <c r="A1053" s="3"/>
      <c r="B1053" s="3"/>
      <c r="C1053" s="3"/>
      <c r="D1053" s="3"/>
      <c r="E1053" s="4"/>
      <c r="F1053" s="3"/>
      <c r="G1053" s="5"/>
      <c r="H1053" s="3"/>
      <c r="I1053" s="3"/>
      <c r="J1053" s="3"/>
      <c r="K1053" s="3"/>
      <c r="L1053" s="3"/>
      <c r="M1053" s="3"/>
      <c r="N1053" s="3"/>
      <c r="O1053" s="3"/>
      <c r="P1053" s="3"/>
      <c r="Q1053" s="4"/>
      <c r="R1053" s="3"/>
      <c r="S1053" s="3"/>
      <c r="T1053" s="3"/>
      <c r="U1053" s="3"/>
    </row>
    <row r="1054">
      <c r="A1054" s="3"/>
      <c r="B1054" s="3"/>
      <c r="C1054" s="3"/>
      <c r="D1054" s="3"/>
      <c r="E1054" s="4"/>
      <c r="F1054" s="3"/>
      <c r="G1054" s="5"/>
      <c r="H1054" s="3"/>
      <c r="I1054" s="3"/>
      <c r="J1054" s="3"/>
      <c r="K1054" s="3"/>
      <c r="L1054" s="3"/>
      <c r="M1054" s="3"/>
      <c r="N1054" s="3"/>
      <c r="O1054" s="3"/>
      <c r="P1054" s="3"/>
      <c r="Q1054" s="4"/>
      <c r="R1054" s="3"/>
      <c r="S1054" s="3"/>
      <c r="T1054" s="3"/>
      <c r="U1054" s="3"/>
    </row>
    <row r="1055">
      <c r="A1055" s="3"/>
      <c r="B1055" s="3"/>
      <c r="C1055" s="3"/>
      <c r="D1055" s="3"/>
      <c r="E1055" s="4"/>
      <c r="F1055" s="3"/>
      <c r="G1055" s="5"/>
      <c r="H1055" s="3"/>
      <c r="I1055" s="3"/>
      <c r="J1055" s="3"/>
      <c r="K1055" s="3"/>
      <c r="L1055" s="3"/>
      <c r="M1055" s="3"/>
      <c r="N1055" s="3"/>
      <c r="O1055" s="3"/>
      <c r="P1055" s="3"/>
      <c r="Q1055" s="4"/>
      <c r="R1055" s="3"/>
      <c r="S1055" s="3"/>
      <c r="T1055" s="3"/>
      <c r="U1055" s="3"/>
    </row>
    <row r="1056">
      <c r="A1056" s="3"/>
      <c r="B1056" s="3"/>
      <c r="C1056" s="3"/>
      <c r="D1056" s="3"/>
      <c r="E1056" s="4"/>
      <c r="F1056" s="3"/>
      <c r="G1056" s="5"/>
      <c r="H1056" s="3"/>
      <c r="I1056" s="3"/>
      <c r="J1056" s="3"/>
      <c r="K1056" s="3"/>
      <c r="L1056" s="3"/>
      <c r="M1056" s="3"/>
      <c r="N1056" s="3"/>
      <c r="O1056" s="3"/>
      <c r="P1056" s="3"/>
      <c r="Q1056" s="4"/>
      <c r="R1056" s="3"/>
      <c r="S1056" s="3"/>
      <c r="T1056" s="3"/>
      <c r="U1056" s="3"/>
    </row>
    <row r="1057">
      <c r="A1057" s="3"/>
      <c r="B1057" s="3"/>
      <c r="C1057" s="3"/>
      <c r="D1057" s="3"/>
      <c r="E1057" s="4"/>
      <c r="F1057" s="3"/>
      <c r="G1057" s="5"/>
      <c r="H1057" s="3"/>
      <c r="I1057" s="3"/>
      <c r="J1057" s="3"/>
      <c r="K1057" s="3"/>
      <c r="L1057" s="3"/>
      <c r="M1057" s="3"/>
      <c r="N1057" s="3"/>
      <c r="O1057" s="3"/>
      <c r="P1057" s="3"/>
      <c r="Q1057" s="4"/>
      <c r="R1057" s="3"/>
      <c r="S1057" s="3"/>
      <c r="T1057" s="3"/>
      <c r="U1057" s="3"/>
    </row>
    <row r="1058">
      <c r="A1058" s="3"/>
      <c r="B1058" s="3"/>
      <c r="C1058" s="3"/>
      <c r="D1058" s="3"/>
      <c r="E1058" s="4"/>
      <c r="F1058" s="3"/>
      <c r="G1058" s="5"/>
      <c r="H1058" s="3"/>
      <c r="I1058" s="3"/>
      <c r="J1058" s="3"/>
      <c r="K1058" s="3"/>
      <c r="L1058" s="3"/>
      <c r="M1058" s="3"/>
      <c r="N1058" s="3"/>
      <c r="O1058" s="3"/>
      <c r="P1058" s="3"/>
      <c r="Q1058" s="4"/>
      <c r="R1058" s="3"/>
      <c r="S1058" s="3"/>
      <c r="T1058" s="3"/>
      <c r="U1058" s="3"/>
    </row>
    <row r="1059">
      <c r="A1059" s="3"/>
      <c r="B1059" s="3"/>
      <c r="C1059" s="3"/>
      <c r="D1059" s="3"/>
      <c r="E1059" s="4"/>
      <c r="F1059" s="3"/>
      <c r="G1059" s="5"/>
      <c r="H1059" s="3"/>
      <c r="I1059" s="3"/>
      <c r="J1059" s="3"/>
      <c r="K1059" s="3"/>
      <c r="L1059" s="3"/>
      <c r="M1059" s="3"/>
      <c r="N1059" s="3"/>
      <c r="O1059" s="3"/>
      <c r="P1059" s="3"/>
      <c r="Q1059" s="4"/>
      <c r="R1059" s="3"/>
      <c r="S1059" s="3"/>
      <c r="T1059" s="3"/>
      <c r="U1059" s="3"/>
    </row>
    <row r="1060">
      <c r="A1060" s="3"/>
      <c r="B1060" s="3"/>
      <c r="C1060" s="3"/>
      <c r="D1060" s="3"/>
      <c r="E1060" s="4"/>
      <c r="F1060" s="3"/>
      <c r="G1060" s="5"/>
      <c r="H1060" s="3"/>
      <c r="I1060" s="3"/>
      <c r="J1060" s="3"/>
      <c r="K1060" s="3"/>
      <c r="L1060" s="3"/>
      <c r="M1060" s="3"/>
      <c r="N1060" s="3"/>
      <c r="O1060" s="3"/>
      <c r="P1060" s="3"/>
      <c r="Q1060" s="4"/>
      <c r="R1060" s="3"/>
      <c r="S1060" s="3"/>
      <c r="T1060" s="3"/>
      <c r="U1060" s="3"/>
    </row>
    <row r="1061">
      <c r="A1061" s="3"/>
      <c r="B1061" s="3"/>
      <c r="C1061" s="3"/>
      <c r="D1061" s="3"/>
      <c r="E1061" s="4"/>
      <c r="F1061" s="3"/>
      <c r="G1061" s="5"/>
      <c r="H1061" s="3"/>
      <c r="I1061" s="3"/>
      <c r="J1061" s="3"/>
      <c r="K1061" s="3"/>
      <c r="L1061" s="3"/>
      <c r="M1061" s="3"/>
      <c r="N1061" s="3"/>
      <c r="O1061" s="3"/>
      <c r="P1061" s="3"/>
      <c r="Q1061" s="4"/>
      <c r="R1061" s="3"/>
      <c r="S1061" s="3"/>
      <c r="T1061" s="3"/>
      <c r="U1061" s="3"/>
    </row>
    <row r="1062">
      <c r="A1062" s="3"/>
      <c r="B1062" s="3"/>
      <c r="C1062" s="3"/>
      <c r="D1062" s="3"/>
      <c r="E1062" s="4"/>
      <c r="F1062" s="3"/>
      <c r="G1062" s="5"/>
      <c r="H1062" s="3"/>
      <c r="I1062" s="3"/>
      <c r="J1062" s="3"/>
      <c r="K1062" s="3"/>
      <c r="L1062" s="3"/>
      <c r="M1062" s="3"/>
      <c r="N1062" s="3"/>
      <c r="O1062" s="3"/>
      <c r="P1062" s="3"/>
      <c r="Q1062" s="4"/>
      <c r="R1062" s="3"/>
      <c r="S1062" s="3"/>
      <c r="T1062" s="3"/>
      <c r="U1062" s="3"/>
    </row>
    <row r="1063">
      <c r="A1063" s="3"/>
      <c r="B1063" s="3"/>
      <c r="C1063" s="3"/>
      <c r="D1063" s="3"/>
      <c r="E1063" s="4"/>
      <c r="F1063" s="3"/>
      <c r="G1063" s="5"/>
      <c r="H1063" s="3"/>
      <c r="I1063" s="3"/>
      <c r="J1063" s="3"/>
      <c r="K1063" s="3"/>
      <c r="L1063" s="3"/>
      <c r="M1063" s="3"/>
      <c r="N1063" s="3"/>
      <c r="O1063" s="3"/>
      <c r="P1063" s="3"/>
      <c r="Q1063" s="4"/>
      <c r="R1063" s="3"/>
      <c r="S1063" s="3"/>
      <c r="T1063" s="3"/>
      <c r="U1063" s="3"/>
    </row>
    <row r="1064">
      <c r="A1064" s="3"/>
      <c r="B1064" s="3"/>
      <c r="C1064" s="3"/>
      <c r="D1064" s="3"/>
      <c r="E1064" s="4"/>
      <c r="F1064" s="3"/>
      <c r="G1064" s="5"/>
      <c r="H1064" s="3"/>
      <c r="I1064" s="3"/>
      <c r="J1064" s="3"/>
      <c r="K1064" s="3"/>
      <c r="L1064" s="3"/>
      <c r="M1064" s="3"/>
      <c r="N1064" s="3"/>
      <c r="O1064" s="3"/>
      <c r="P1064" s="3"/>
      <c r="Q1064" s="4"/>
      <c r="R1064" s="3"/>
      <c r="S1064" s="3"/>
      <c r="T1064" s="3"/>
      <c r="U1064" s="3"/>
    </row>
    <row r="1065">
      <c r="A1065" s="3"/>
      <c r="B1065" s="3"/>
      <c r="C1065" s="3"/>
      <c r="D1065" s="3"/>
      <c r="E1065" s="4"/>
      <c r="F1065" s="3"/>
      <c r="G1065" s="5"/>
      <c r="H1065" s="3"/>
      <c r="I1065" s="3"/>
      <c r="J1065" s="3"/>
      <c r="K1065" s="3"/>
      <c r="L1065" s="3"/>
      <c r="M1065" s="3"/>
      <c r="N1065" s="3"/>
      <c r="O1065" s="3"/>
      <c r="P1065" s="3"/>
      <c r="Q1065" s="4"/>
      <c r="R1065" s="3"/>
      <c r="S1065" s="3"/>
      <c r="T1065" s="3"/>
      <c r="U1065" s="3"/>
    </row>
    <row r="1066">
      <c r="A1066" s="3"/>
      <c r="B1066" s="3"/>
      <c r="C1066" s="3"/>
      <c r="D1066" s="3"/>
      <c r="E1066" s="4"/>
      <c r="F1066" s="3"/>
      <c r="G1066" s="5"/>
      <c r="H1066" s="3"/>
      <c r="I1066" s="3"/>
      <c r="J1066" s="3"/>
      <c r="K1066" s="3"/>
      <c r="L1066" s="3"/>
      <c r="M1066" s="3"/>
      <c r="N1066" s="3"/>
      <c r="O1066" s="3"/>
      <c r="P1066" s="3"/>
      <c r="Q1066" s="4"/>
      <c r="R1066" s="3"/>
      <c r="S1066" s="3"/>
      <c r="T1066" s="3"/>
      <c r="U1066" s="3"/>
    </row>
    <row r="1067">
      <c r="A1067" s="3"/>
      <c r="B1067" s="3"/>
      <c r="C1067" s="3"/>
      <c r="D1067" s="3"/>
      <c r="E1067" s="4"/>
      <c r="F1067" s="3"/>
      <c r="G1067" s="5"/>
      <c r="H1067" s="3"/>
      <c r="I1067" s="3"/>
      <c r="J1067" s="3"/>
      <c r="K1067" s="3"/>
      <c r="L1067" s="3"/>
      <c r="M1067" s="3"/>
      <c r="N1067" s="3"/>
      <c r="O1067" s="3"/>
      <c r="P1067" s="3"/>
      <c r="Q1067" s="4"/>
      <c r="R1067" s="3"/>
      <c r="S1067" s="3"/>
      <c r="T1067" s="3"/>
      <c r="U1067" s="3"/>
    </row>
    <row r="1068">
      <c r="A1068" s="3"/>
      <c r="B1068" s="3"/>
      <c r="C1068" s="3"/>
      <c r="D1068" s="3"/>
      <c r="E1068" s="4"/>
      <c r="F1068" s="3"/>
      <c r="G1068" s="5"/>
      <c r="H1068" s="3"/>
      <c r="I1068" s="3"/>
      <c r="J1068" s="3"/>
      <c r="K1068" s="3"/>
      <c r="L1068" s="3"/>
      <c r="M1068" s="3"/>
      <c r="N1068" s="3"/>
      <c r="O1068" s="3"/>
      <c r="P1068" s="3"/>
      <c r="Q1068" s="4"/>
      <c r="R1068" s="3"/>
      <c r="S1068" s="3"/>
      <c r="T1068" s="3"/>
      <c r="U1068" s="3"/>
    </row>
    <row r="1069">
      <c r="A1069" s="3"/>
      <c r="B1069" s="3"/>
      <c r="C1069" s="3"/>
      <c r="D1069" s="3"/>
      <c r="E1069" s="4"/>
      <c r="F1069" s="3"/>
      <c r="G1069" s="5"/>
      <c r="H1069" s="3"/>
      <c r="I1069" s="3"/>
      <c r="J1069" s="3"/>
      <c r="K1069" s="3"/>
      <c r="L1069" s="3"/>
      <c r="M1069" s="3"/>
      <c r="N1069" s="3"/>
      <c r="O1069" s="3"/>
      <c r="P1069" s="3"/>
      <c r="Q1069" s="4"/>
      <c r="R1069" s="3"/>
      <c r="S1069" s="3"/>
      <c r="T1069" s="3"/>
      <c r="U1069" s="3"/>
    </row>
    <row r="1070">
      <c r="A1070" s="3"/>
      <c r="B1070" s="3"/>
      <c r="C1070" s="3"/>
      <c r="D1070" s="3"/>
      <c r="E1070" s="4"/>
      <c r="F1070" s="3"/>
      <c r="G1070" s="5"/>
      <c r="H1070" s="3"/>
      <c r="I1070" s="3"/>
      <c r="J1070" s="3"/>
      <c r="K1070" s="3"/>
      <c r="L1070" s="3"/>
      <c r="M1070" s="3"/>
      <c r="N1070" s="3"/>
      <c r="O1070" s="3"/>
      <c r="P1070" s="3"/>
      <c r="Q1070" s="4"/>
      <c r="R1070" s="3"/>
      <c r="S1070" s="3"/>
      <c r="T1070" s="3"/>
      <c r="U1070" s="3"/>
    </row>
    <row r="1071">
      <c r="A1071" s="3"/>
      <c r="B1071" s="3"/>
      <c r="C1071" s="3"/>
      <c r="D1071" s="3"/>
      <c r="E1071" s="4"/>
      <c r="F1071" s="3"/>
      <c r="G1071" s="5"/>
      <c r="H1071" s="3"/>
      <c r="I1071" s="3"/>
      <c r="J1071" s="3"/>
      <c r="K1071" s="3"/>
      <c r="L1071" s="3"/>
      <c r="M1071" s="3"/>
      <c r="N1071" s="3"/>
      <c r="O1071" s="3"/>
      <c r="P1071" s="3"/>
      <c r="Q1071" s="4"/>
      <c r="R1071" s="3"/>
      <c r="S1071" s="3"/>
      <c r="T1071" s="3"/>
      <c r="U1071" s="3"/>
    </row>
    <row r="1072">
      <c r="A1072" s="3"/>
      <c r="B1072" s="3"/>
      <c r="C1072" s="3"/>
      <c r="D1072" s="3"/>
      <c r="E1072" s="4"/>
      <c r="F1072" s="3"/>
      <c r="G1072" s="5"/>
      <c r="H1072" s="3"/>
      <c r="I1072" s="3"/>
      <c r="J1072" s="3"/>
      <c r="K1072" s="3"/>
      <c r="L1072" s="3"/>
      <c r="M1072" s="3"/>
      <c r="N1072" s="3"/>
      <c r="O1072" s="3"/>
      <c r="P1072" s="3"/>
      <c r="Q1072" s="4"/>
      <c r="R1072" s="3"/>
      <c r="S1072" s="3"/>
      <c r="T1072" s="3"/>
      <c r="U1072" s="3"/>
    </row>
    <row r="1073">
      <c r="A1073" s="3"/>
      <c r="B1073" s="3"/>
      <c r="C1073" s="3"/>
      <c r="D1073" s="3"/>
      <c r="E1073" s="4"/>
      <c r="F1073" s="3"/>
      <c r="G1073" s="5"/>
      <c r="H1073" s="3"/>
      <c r="I1073" s="3"/>
      <c r="J1073" s="3"/>
      <c r="K1073" s="3"/>
      <c r="L1073" s="3"/>
      <c r="M1073" s="3"/>
      <c r="N1073" s="3"/>
      <c r="O1073" s="3"/>
      <c r="P1073" s="3"/>
      <c r="Q1073" s="4"/>
      <c r="R1073" s="3"/>
      <c r="S1073" s="3"/>
      <c r="T1073" s="3"/>
      <c r="U1073" s="3"/>
    </row>
    <row r="1074">
      <c r="A1074" s="3"/>
      <c r="B1074" s="3"/>
      <c r="C1074" s="3"/>
      <c r="D1074" s="3"/>
      <c r="E1074" s="4"/>
      <c r="F1074" s="3"/>
      <c r="G1074" s="5"/>
      <c r="H1074" s="3"/>
      <c r="I1074" s="3"/>
      <c r="J1074" s="3"/>
      <c r="K1074" s="3"/>
      <c r="L1074" s="3"/>
      <c r="M1074" s="3"/>
      <c r="N1074" s="3"/>
      <c r="O1074" s="3"/>
      <c r="P1074" s="3"/>
      <c r="Q1074" s="4"/>
      <c r="R1074" s="3"/>
      <c r="S1074" s="3"/>
      <c r="T1074" s="3"/>
      <c r="U1074" s="3"/>
    </row>
    <row r="1075">
      <c r="A1075" s="3"/>
      <c r="B1075" s="3"/>
      <c r="C1075" s="3"/>
      <c r="D1075" s="3"/>
      <c r="E1075" s="4"/>
      <c r="F1075" s="3"/>
      <c r="G1075" s="5"/>
      <c r="H1075" s="3"/>
      <c r="I1075" s="3"/>
      <c r="J1075" s="3"/>
      <c r="K1075" s="3"/>
      <c r="L1075" s="3"/>
      <c r="M1075" s="3"/>
      <c r="N1075" s="3"/>
      <c r="O1075" s="3"/>
      <c r="P1075" s="3"/>
      <c r="Q1075" s="4"/>
      <c r="R1075" s="3"/>
      <c r="S1075" s="3"/>
      <c r="T1075" s="3"/>
      <c r="U1075" s="3"/>
    </row>
    <row r="1076">
      <c r="A1076" s="3"/>
      <c r="B1076" s="3"/>
      <c r="C1076" s="3"/>
      <c r="D1076" s="3"/>
      <c r="E1076" s="4"/>
      <c r="F1076" s="3"/>
      <c r="G1076" s="5"/>
      <c r="H1076" s="3"/>
      <c r="I1076" s="3"/>
      <c r="J1076" s="3"/>
      <c r="K1076" s="3"/>
      <c r="L1076" s="3"/>
      <c r="M1076" s="3"/>
      <c r="N1076" s="3"/>
      <c r="O1076" s="3"/>
      <c r="P1076" s="3"/>
      <c r="S1076" s="3"/>
      <c r="T1076" s="3"/>
      <c r="U1076" s="3"/>
    </row>
    <row r="1077">
      <c r="A1077" s="3"/>
      <c r="B1077" s="3"/>
      <c r="C1077" s="3"/>
      <c r="D1077" s="3"/>
      <c r="E1077" s="4"/>
      <c r="F1077" s="3"/>
      <c r="G1077" s="5"/>
      <c r="H1077" s="3"/>
      <c r="I1077" s="3"/>
      <c r="J1077" s="3"/>
      <c r="K1077" s="3"/>
      <c r="L1077" s="3"/>
      <c r="M1077" s="3"/>
      <c r="N1077" s="3"/>
      <c r="O1077" s="3"/>
      <c r="P1077" s="3"/>
      <c r="S1077" s="3"/>
      <c r="T1077" s="3"/>
      <c r="U1077" s="3"/>
    </row>
    <row r="1078">
      <c r="A1078" s="3"/>
      <c r="D1078" s="3"/>
      <c r="E1078" s="4"/>
      <c r="F1078" s="3"/>
      <c r="G1078" s="5"/>
      <c r="H1078" s="3"/>
      <c r="I1078" s="3"/>
      <c r="J1078" s="3"/>
      <c r="K1078" s="3"/>
      <c r="L1078" s="3"/>
      <c r="M1078" s="3"/>
      <c r="N1078" s="3"/>
      <c r="O1078" s="3"/>
      <c r="P1078" s="3"/>
      <c r="S1078" s="3"/>
      <c r="T1078" s="3"/>
      <c r="U1078" s="3"/>
    </row>
  </sheetData>
  <mergeCells count="2">
    <mergeCell ref="B1:C1"/>
    <mergeCell ref="E128:F128"/>
  </mergeCells>
  <conditionalFormatting sqref="J19">
    <cfRule type="cellIs" dxfId="0" priority="1" operator="lessThan">
      <formula>0</formula>
    </cfRule>
  </conditionalFormatting>
  <conditionalFormatting sqref="J19">
    <cfRule type="cellIs" dxfId="1" priority="2" operator="greaterThan">
      <formula>0</formula>
    </cfRule>
  </conditionalFormatting>
  <conditionalFormatting sqref="J19">
    <cfRule type="cellIs" dxfId="1" priority="3" operator="greaterThan">
      <formula>0</formula>
    </cfRule>
  </conditionalFormatting>
  <conditionalFormatting sqref="J19">
    <cfRule type="cellIs" dxfId="1" priority="4" operator="greaterThan">
      <formula>0</formula>
    </cfRule>
  </conditionalFormatting>
  <conditionalFormatting sqref="J45:J75">
    <cfRule type="expression" dxfId="0" priority="5">
      <formula>J45&gt;$L$45</formula>
    </cfRule>
  </conditionalFormatting>
  <dataValidations>
    <dataValidation type="list" allowBlank="1" showErrorMessage="1" sqref="B24:B26">
      <formula1>"ChatGPT,iCloud Storage,Nuro Hikari,Spotify,House Rent,Tuition,Rakuten Mobile,YouTube Premium,Electricity,Water Server,Water,Netflix"</formula1>
    </dataValidation>
    <dataValidation type="list" allowBlank="1" showErrorMessage="1" sqref="B5">
      <formula1>"Salary,Allowance"</formula1>
    </dataValidation>
    <dataValidation type="list" allowBlank="1" showErrorMessage="1" sqref="B18:B23">
      <formula1>"ChatGPT,iCloud Storage,Nuro Hikari,Spotify,House Rent,Tuition,Rakuten Mobile,YouTube,Electricity,Water"</formula1>
    </dataValidation>
    <dataValidation type="list" allowBlank="1" showErrorMessage="1" sqref="E5:E127">
      <formula1>'26Nov'!$I$45:$I$75</formula1>
    </dataValidation>
    <dataValidation type="list" allowBlank="1" showErrorMessage="1" sqref="L5:L17 F5:F127">
      <formula1>"🚇 Suica,🍔 Eat Out,🛒 Grocery,🏪 Konbini,💊 Medical,🤩 Friends,🏔️ Leisure,🧴 Beauty,👘 Fashion,📖 Learning"</formula1>
    </dataValidation>
  </dataValidations>
  <drawing r:id="rId1"/>
</worksheet>
</file>